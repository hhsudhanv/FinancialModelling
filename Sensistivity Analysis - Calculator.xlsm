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dhan\Desktop\ISE 200\Project\"/>
    </mc:Choice>
  </mc:AlternateContent>
  <xr:revisionPtr revIDLastSave="0" documentId="13_ncr:1_{2F4406A5-75C8-4962-9F52-9F60A6BCBB25}" xr6:coauthVersionLast="32" xr6:coauthVersionMax="32" xr10:uidLastSave="{00000000-0000-0000-0000-000000000000}"/>
  <bookViews>
    <workbookView xWindow="0" yWindow="0" windowWidth="23256" windowHeight="8592" activeTab="1" xr2:uid="{00000000-000D-0000-FFFF-FFFF00000000}"/>
  </bookViews>
  <sheets>
    <sheet name="Project Requirements" sheetId="1" r:id="rId1"/>
    <sheet name="Labour Cost Reduction" sheetId="4" r:id="rId2"/>
    <sheet name="Apple car" sheetId="2" r:id="rId3"/>
    <sheet name="Battery Capacity" sheetId="3" r:id="rId4"/>
    <sheet name="JIT" sheetId="5" r:id="rId5"/>
    <sheet name="Warranty Cost" sheetId="6" r:id="rId6"/>
    <sheet name="OCA" sheetId="7" r:id="rId7"/>
  </sheets>
  <calcPr calcId="179017"/>
</workbook>
</file>

<file path=xl/calcChain.xml><?xml version="1.0" encoding="utf-8"?>
<calcChain xmlns="http://schemas.openxmlformats.org/spreadsheetml/2006/main">
  <c r="I33" i="4" l="1"/>
  <c r="H33" i="4"/>
  <c r="G33" i="4"/>
  <c r="F33" i="4" s="1"/>
  <c r="J33" i="4" s="1"/>
  <c r="I32" i="4"/>
  <c r="H32" i="4" s="1"/>
  <c r="F32" i="4" s="1"/>
  <c r="J32" i="4" s="1"/>
  <c r="G32" i="4"/>
  <c r="I31" i="4"/>
  <c r="H31" i="4"/>
  <c r="G31" i="4"/>
  <c r="F31" i="4" s="1"/>
  <c r="J31" i="4" s="1"/>
  <c r="I30" i="4"/>
  <c r="H30" i="4" s="1"/>
  <c r="F30" i="4" s="1"/>
  <c r="J30" i="4" s="1"/>
  <c r="G30" i="4"/>
  <c r="I29" i="4"/>
  <c r="H29" i="4"/>
  <c r="G29" i="4"/>
  <c r="F29" i="4" s="1"/>
  <c r="J29" i="4" s="1"/>
  <c r="I28" i="4"/>
  <c r="H28" i="4" s="1"/>
  <c r="F28" i="4" s="1"/>
  <c r="J28" i="4" s="1"/>
  <c r="G28" i="4"/>
  <c r="I27" i="4"/>
  <c r="H27" i="4"/>
  <c r="G27" i="4"/>
  <c r="F27" i="4" s="1"/>
  <c r="J27" i="4" s="1"/>
  <c r="I26" i="4"/>
  <c r="H26" i="4" s="1"/>
  <c r="F26" i="4" s="1"/>
  <c r="J26" i="4" s="1"/>
  <c r="G26" i="4"/>
  <c r="I25" i="4"/>
  <c r="H25" i="4"/>
  <c r="G25" i="4"/>
  <c r="F25" i="4" s="1"/>
  <c r="J25" i="4" s="1"/>
  <c r="I24" i="4"/>
  <c r="H24" i="4" s="1"/>
  <c r="F24" i="4" s="1"/>
  <c r="J24" i="4" s="1"/>
  <c r="G24" i="4"/>
  <c r="I23" i="4"/>
  <c r="H23" i="4"/>
  <c r="G23" i="4"/>
  <c r="F23" i="4" s="1"/>
  <c r="J23" i="4" s="1"/>
  <c r="I22" i="4"/>
  <c r="H22" i="4" s="1"/>
  <c r="F22" i="4" s="1"/>
  <c r="J22" i="4" s="1"/>
  <c r="G22" i="4"/>
  <c r="I21" i="4"/>
  <c r="H21" i="4"/>
  <c r="G21" i="4"/>
  <c r="F21" i="4" s="1"/>
  <c r="J21" i="4" s="1"/>
  <c r="I20" i="4"/>
  <c r="H20" i="4" s="1"/>
  <c r="F20" i="4" s="1"/>
  <c r="J20" i="4" s="1"/>
  <c r="G20" i="4"/>
  <c r="I19" i="4"/>
  <c r="H19" i="4"/>
  <c r="G19" i="4"/>
  <c r="F19" i="4" s="1"/>
  <c r="J19" i="4" s="1"/>
  <c r="I18" i="4"/>
  <c r="H18" i="4" s="1"/>
  <c r="F18" i="4" s="1"/>
  <c r="J18" i="4" s="1"/>
  <c r="G18" i="4"/>
  <c r="I17" i="4"/>
  <c r="H17" i="4"/>
  <c r="G17" i="4"/>
  <c r="F17" i="4" s="1"/>
  <c r="J17" i="4" s="1"/>
  <c r="I16" i="4"/>
  <c r="H16" i="4"/>
  <c r="G16" i="4"/>
  <c r="F16" i="4"/>
  <c r="J16" i="4" s="1"/>
  <c r="I15" i="4"/>
  <c r="H15" i="4" s="1"/>
  <c r="F15" i="4" s="1"/>
  <c r="J15" i="4" s="1"/>
  <c r="G15" i="4"/>
  <c r="I14" i="4"/>
  <c r="H14" i="4"/>
  <c r="F14" i="4" s="1"/>
  <c r="J14" i="4" s="1"/>
  <c r="G14" i="4"/>
  <c r="I13" i="4"/>
  <c r="H13" i="4"/>
  <c r="G13" i="4"/>
  <c r="F13" i="4" s="1"/>
  <c r="J13" i="4" s="1"/>
  <c r="I12" i="4"/>
  <c r="H12" i="4"/>
  <c r="G12" i="4"/>
  <c r="F12" i="4"/>
  <c r="J12" i="4" s="1"/>
  <c r="I11" i="4"/>
  <c r="H11" i="4" s="1"/>
  <c r="F11" i="4" s="1"/>
  <c r="J11" i="4" s="1"/>
  <c r="G11" i="4"/>
  <c r="I10" i="4"/>
  <c r="H10" i="4"/>
  <c r="F10" i="4" s="1"/>
  <c r="J10" i="4" s="1"/>
  <c r="G10" i="4"/>
  <c r="I9" i="4"/>
  <c r="H9" i="4"/>
  <c r="G9" i="4"/>
  <c r="F9" i="4" s="1"/>
  <c r="J9" i="4" s="1"/>
  <c r="I8" i="4"/>
  <c r="H8" i="4"/>
  <c r="G8" i="4"/>
  <c r="F8" i="4"/>
  <c r="J8" i="4" s="1"/>
  <c r="I7" i="4"/>
  <c r="H7" i="4" s="1"/>
  <c r="F7" i="4" s="1"/>
  <c r="J7" i="4" s="1"/>
  <c r="G7" i="4"/>
  <c r="I6" i="4"/>
  <c r="H6" i="4"/>
  <c r="F6" i="4" s="1"/>
  <c r="J6" i="4" s="1"/>
  <c r="G6" i="4"/>
  <c r="I5" i="4"/>
  <c r="H5" i="4"/>
  <c r="G5" i="4"/>
  <c r="L15" i="4" s="1"/>
  <c r="L4" i="4"/>
  <c r="J4" i="4"/>
  <c r="H4" i="4"/>
  <c r="F4" i="4"/>
  <c r="L3" i="4"/>
  <c r="J3" i="4"/>
  <c r="K3" i="4" s="1"/>
  <c r="F4" i="6"/>
  <c r="B28" i="3"/>
  <c r="B23" i="3"/>
  <c r="B18" i="3"/>
  <c r="I18" i="3" s="1"/>
  <c r="B13" i="3"/>
  <c r="B8" i="3"/>
  <c r="B9" i="3"/>
  <c r="B10" i="3"/>
  <c r="B11" i="3"/>
  <c r="I11" i="3" s="1"/>
  <c r="B12" i="3"/>
  <c r="B14" i="3"/>
  <c r="B15" i="3"/>
  <c r="B16" i="3"/>
  <c r="B17" i="3"/>
  <c r="B19" i="3"/>
  <c r="B20" i="3"/>
  <c r="I20" i="3" s="1"/>
  <c r="B21" i="3"/>
  <c r="B22" i="3"/>
  <c r="I22" i="3" s="1"/>
  <c r="B24" i="3"/>
  <c r="B25" i="3"/>
  <c r="B26" i="3"/>
  <c r="B27" i="3"/>
  <c r="B29" i="3"/>
  <c r="B30" i="3"/>
  <c r="B31" i="3"/>
  <c r="I31" i="3" s="1"/>
  <c r="B32" i="3"/>
  <c r="B33" i="3"/>
  <c r="B6" i="3"/>
  <c r="B7" i="3"/>
  <c r="B5" i="3"/>
  <c r="K33" i="3"/>
  <c r="H33" i="3"/>
  <c r="F33" i="3"/>
  <c r="I33" i="3" s="1"/>
  <c r="K32" i="3"/>
  <c r="H32" i="3"/>
  <c r="F32" i="3" s="1"/>
  <c r="K31" i="3"/>
  <c r="H31" i="3"/>
  <c r="F31" i="3"/>
  <c r="K30" i="3"/>
  <c r="H30" i="3"/>
  <c r="F30" i="3" s="1"/>
  <c r="K29" i="3"/>
  <c r="H29" i="3"/>
  <c r="F29" i="3"/>
  <c r="I29" i="3"/>
  <c r="K28" i="3"/>
  <c r="H28" i="3"/>
  <c r="F28" i="3" s="1"/>
  <c r="K27" i="3"/>
  <c r="H27" i="3"/>
  <c r="F27" i="3" s="1"/>
  <c r="K26" i="3"/>
  <c r="H26" i="3"/>
  <c r="F26" i="3"/>
  <c r="K25" i="3"/>
  <c r="H25" i="3"/>
  <c r="F25" i="3" s="1"/>
  <c r="I25" i="3" s="1"/>
  <c r="K24" i="3"/>
  <c r="H24" i="3"/>
  <c r="F24" i="3"/>
  <c r="I24" i="3" s="1"/>
  <c r="K23" i="3"/>
  <c r="H23" i="3"/>
  <c r="F23" i="3" s="1"/>
  <c r="K22" i="3"/>
  <c r="H22" i="3"/>
  <c r="F22" i="3"/>
  <c r="K21" i="3"/>
  <c r="H21" i="3"/>
  <c r="F21" i="3" s="1"/>
  <c r="K20" i="3"/>
  <c r="H20" i="3"/>
  <c r="F20" i="3"/>
  <c r="K19" i="3"/>
  <c r="H19" i="3"/>
  <c r="F19" i="3" s="1"/>
  <c r="K18" i="3"/>
  <c r="H18" i="3"/>
  <c r="F18" i="3"/>
  <c r="K17" i="3"/>
  <c r="H17" i="3"/>
  <c r="F17" i="3"/>
  <c r="I17" i="3" s="1"/>
  <c r="K16" i="3"/>
  <c r="H16" i="3"/>
  <c r="F16" i="3" s="1"/>
  <c r="K15" i="3"/>
  <c r="H15" i="3"/>
  <c r="F15" i="3"/>
  <c r="K14" i="3"/>
  <c r="H14" i="3"/>
  <c r="F14" i="3" s="1"/>
  <c r="I14" i="3" s="1"/>
  <c r="K13" i="3"/>
  <c r="H13" i="3"/>
  <c r="F13" i="3"/>
  <c r="K12" i="3"/>
  <c r="H12" i="3"/>
  <c r="F12" i="3" s="1"/>
  <c r="I12" i="3" s="1"/>
  <c r="K11" i="3"/>
  <c r="H11" i="3"/>
  <c r="F11" i="3"/>
  <c r="K10" i="3"/>
  <c r="H10" i="3"/>
  <c r="F10" i="3" s="1"/>
  <c r="K9" i="3"/>
  <c r="H9" i="3"/>
  <c r="F9" i="3"/>
  <c r="I9" i="3"/>
  <c r="K8" i="3"/>
  <c r="H8" i="3"/>
  <c r="F8" i="3" s="1"/>
  <c r="K7" i="3"/>
  <c r="H7" i="3"/>
  <c r="F7" i="3" s="1"/>
  <c r="K6" i="3"/>
  <c r="H6" i="3"/>
  <c r="F6" i="3"/>
  <c r="K5" i="3"/>
  <c r="H5" i="3"/>
  <c r="F5" i="3" s="1"/>
  <c r="K4" i="3"/>
  <c r="F4" i="3"/>
  <c r="I4" i="3" s="1"/>
  <c r="K3" i="3"/>
  <c r="I3" i="3"/>
  <c r="J3" i="3" s="1"/>
  <c r="K33" i="7"/>
  <c r="H33" i="7"/>
  <c r="F33" i="7" s="1"/>
  <c r="B33" i="7"/>
  <c r="K32" i="7"/>
  <c r="H32" i="7"/>
  <c r="F32" i="7" s="1"/>
  <c r="B32" i="7"/>
  <c r="K31" i="7"/>
  <c r="H31" i="7"/>
  <c r="F31" i="7" s="1"/>
  <c r="B31" i="7"/>
  <c r="K30" i="7"/>
  <c r="H30" i="7"/>
  <c r="F30" i="7" s="1"/>
  <c r="B30" i="7"/>
  <c r="K29" i="7"/>
  <c r="H29" i="7"/>
  <c r="F29" i="7" s="1"/>
  <c r="B29" i="7"/>
  <c r="K28" i="7"/>
  <c r="H28" i="7"/>
  <c r="F28" i="7" s="1"/>
  <c r="B28" i="7"/>
  <c r="K27" i="7"/>
  <c r="H27" i="7"/>
  <c r="F27" i="7" s="1"/>
  <c r="I27" i="7" s="1"/>
  <c r="B27" i="7"/>
  <c r="K26" i="7"/>
  <c r="H26" i="7"/>
  <c r="F26" i="7" s="1"/>
  <c r="B26" i="7"/>
  <c r="K25" i="7"/>
  <c r="H25" i="7"/>
  <c r="F25" i="7" s="1"/>
  <c r="B25" i="7"/>
  <c r="K24" i="7"/>
  <c r="H24" i="7"/>
  <c r="F24" i="7" s="1"/>
  <c r="B24" i="7"/>
  <c r="K23" i="7"/>
  <c r="H23" i="7"/>
  <c r="F23" i="7" s="1"/>
  <c r="B23" i="7"/>
  <c r="K22" i="7"/>
  <c r="H22" i="7"/>
  <c r="F22" i="7" s="1"/>
  <c r="B22" i="7"/>
  <c r="K21" i="7"/>
  <c r="H21" i="7"/>
  <c r="F21" i="7" s="1"/>
  <c r="B21" i="7"/>
  <c r="K20" i="7"/>
  <c r="H20" i="7"/>
  <c r="F20" i="7" s="1"/>
  <c r="B20" i="7"/>
  <c r="K19" i="7"/>
  <c r="H19" i="7"/>
  <c r="F19" i="7" s="1"/>
  <c r="I19" i="7" s="1"/>
  <c r="B19" i="7"/>
  <c r="K18" i="7"/>
  <c r="H18" i="7"/>
  <c r="F18" i="7" s="1"/>
  <c r="B18" i="7"/>
  <c r="K17" i="7"/>
  <c r="H17" i="7"/>
  <c r="F17" i="7" s="1"/>
  <c r="B17" i="7"/>
  <c r="K16" i="7"/>
  <c r="H16" i="7"/>
  <c r="F16" i="7" s="1"/>
  <c r="B16" i="7"/>
  <c r="K15" i="7"/>
  <c r="H15" i="7"/>
  <c r="F15" i="7" s="1"/>
  <c r="I15" i="7" s="1"/>
  <c r="B15" i="7"/>
  <c r="K14" i="7"/>
  <c r="H14" i="7"/>
  <c r="F14" i="7" s="1"/>
  <c r="B14" i="7"/>
  <c r="K13" i="7"/>
  <c r="H13" i="7"/>
  <c r="F13" i="7" s="1"/>
  <c r="B13" i="7"/>
  <c r="K12" i="7"/>
  <c r="H12" i="7"/>
  <c r="F12" i="7" s="1"/>
  <c r="B12" i="7"/>
  <c r="K11" i="7"/>
  <c r="H11" i="7"/>
  <c r="F11" i="7" s="1"/>
  <c r="I11" i="7" s="1"/>
  <c r="B11" i="7"/>
  <c r="K10" i="7"/>
  <c r="H10" i="7"/>
  <c r="F10" i="7" s="1"/>
  <c r="B10" i="7"/>
  <c r="K9" i="7"/>
  <c r="H9" i="7"/>
  <c r="F9" i="7" s="1"/>
  <c r="B9" i="7"/>
  <c r="K8" i="7"/>
  <c r="H8" i="7"/>
  <c r="F8" i="7" s="1"/>
  <c r="B8" i="7"/>
  <c r="K7" i="7"/>
  <c r="H7" i="7"/>
  <c r="F7" i="7" s="1"/>
  <c r="I7" i="7" s="1"/>
  <c r="B7" i="7"/>
  <c r="K6" i="7"/>
  <c r="H6" i="7"/>
  <c r="F6" i="7" s="1"/>
  <c r="B6" i="7"/>
  <c r="K5" i="7"/>
  <c r="H5" i="7"/>
  <c r="F5" i="7" s="1"/>
  <c r="B5" i="7"/>
  <c r="K4" i="7"/>
  <c r="F4" i="7"/>
  <c r="I4" i="7" s="1"/>
  <c r="K3" i="7"/>
  <c r="I3" i="7"/>
  <c r="J3" i="7" s="1"/>
  <c r="G3" i="5"/>
  <c r="G2" i="5"/>
  <c r="G34" i="5" s="1"/>
  <c r="J38" i="4" l="1"/>
  <c r="K13" i="4"/>
  <c r="K21" i="4"/>
  <c r="L13" i="4"/>
  <c r="L6" i="4"/>
  <c r="K9" i="4"/>
  <c r="L10" i="4"/>
  <c r="L14" i="4"/>
  <c r="K17" i="4"/>
  <c r="K29" i="4"/>
  <c r="K12" i="4"/>
  <c r="K16" i="4"/>
  <c r="L8" i="4"/>
  <c r="K11" i="4"/>
  <c r="L12" i="4"/>
  <c r="L16" i="4"/>
  <c r="K18" i="4"/>
  <c r="K24" i="4"/>
  <c r="K26" i="4"/>
  <c r="K32" i="4"/>
  <c r="K19" i="4"/>
  <c r="K4" i="4"/>
  <c r="L5" i="4"/>
  <c r="L9" i="4"/>
  <c r="F5" i="4"/>
  <c r="J5" i="4" s="1"/>
  <c r="K8" i="4" s="1"/>
  <c r="K6" i="4"/>
  <c r="L7" i="4"/>
  <c r="L11" i="4"/>
  <c r="K14" i="4"/>
  <c r="I5" i="3"/>
  <c r="J5" i="3" s="1"/>
  <c r="I27" i="3"/>
  <c r="I8" i="3"/>
  <c r="I32" i="3"/>
  <c r="I30" i="3"/>
  <c r="I10" i="3"/>
  <c r="I6" i="3"/>
  <c r="I21" i="3"/>
  <c r="I26" i="3"/>
  <c r="I13" i="3"/>
  <c r="I16" i="3"/>
  <c r="I28" i="3"/>
  <c r="I15" i="3"/>
  <c r="I19" i="3"/>
  <c r="I23" i="3"/>
  <c r="I7" i="3"/>
  <c r="J4" i="3"/>
  <c r="I35" i="3" a="1"/>
  <c r="I31" i="7"/>
  <c r="I10" i="7"/>
  <c r="I14" i="7"/>
  <c r="I5" i="7"/>
  <c r="I9" i="7"/>
  <c r="I17" i="7"/>
  <c r="I21" i="7"/>
  <c r="I25" i="7"/>
  <c r="I29" i="7"/>
  <c r="I33" i="7"/>
  <c r="I6" i="7"/>
  <c r="I18" i="7"/>
  <c r="I22" i="7"/>
  <c r="I26" i="7"/>
  <c r="I30" i="7"/>
  <c r="I8" i="7"/>
  <c r="I12" i="7"/>
  <c r="I16" i="7"/>
  <c r="I20" i="7"/>
  <c r="I24" i="7"/>
  <c r="I28" i="7"/>
  <c r="I32" i="7"/>
  <c r="I13" i="7"/>
  <c r="I23" i="7"/>
  <c r="G34" i="7" a="1"/>
  <c r="J4" i="7"/>
  <c r="G35" i="5"/>
  <c r="H3" i="5"/>
  <c r="H2" i="5"/>
  <c r="I33" i="6"/>
  <c r="G33" i="6"/>
  <c r="I32" i="6"/>
  <c r="H33" i="6" s="1"/>
  <c r="G32" i="6"/>
  <c r="I31" i="6"/>
  <c r="H32" i="6" s="1"/>
  <c r="F32" i="6" s="1"/>
  <c r="G31" i="6"/>
  <c r="B31" i="6"/>
  <c r="I30" i="6"/>
  <c r="H31" i="6" s="1"/>
  <c r="F31" i="6" s="1"/>
  <c r="H30" i="6"/>
  <c r="G30" i="6"/>
  <c r="F30" i="6" s="1"/>
  <c r="I29" i="6"/>
  <c r="G29" i="6"/>
  <c r="F29" i="6" s="1"/>
  <c r="I28" i="6"/>
  <c r="H29" i="6" s="1"/>
  <c r="G28" i="6"/>
  <c r="I27" i="6"/>
  <c r="H28" i="6" s="1"/>
  <c r="F28" i="6" s="1"/>
  <c r="G27" i="6"/>
  <c r="B27" i="6"/>
  <c r="I26" i="6"/>
  <c r="H27" i="6" s="1"/>
  <c r="F27" i="6" s="1"/>
  <c r="H26" i="6"/>
  <c r="G26" i="6"/>
  <c r="F26" i="6" s="1"/>
  <c r="I25" i="6"/>
  <c r="G25" i="6"/>
  <c r="I24" i="6"/>
  <c r="H25" i="6" s="1"/>
  <c r="G24" i="6"/>
  <c r="I23" i="6"/>
  <c r="H24" i="6" s="1"/>
  <c r="F24" i="6" s="1"/>
  <c r="G23" i="6"/>
  <c r="B23" i="6"/>
  <c r="I22" i="6"/>
  <c r="H23" i="6" s="1"/>
  <c r="F23" i="6" s="1"/>
  <c r="H22" i="6"/>
  <c r="G22" i="6"/>
  <c r="F22" i="6" s="1"/>
  <c r="I21" i="6"/>
  <c r="G21" i="6"/>
  <c r="F21" i="6" s="1"/>
  <c r="I20" i="6"/>
  <c r="H21" i="6" s="1"/>
  <c r="G20" i="6"/>
  <c r="I19" i="6"/>
  <c r="H20" i="6" s="1"/>
  <c r="F20" i="6" s="1"/>
  <c r="G19" i="6"/>
  <c r="B19" i="6"/>
  <c r="I18" i="6"/>
  <c r="H19" i="6" s="1"/>
  <c r="F19" i="6" s="1"/>
  <c r="H18" i="6"/>
  <c r="G18" i="6"/>
  <c r="F18" i="6" s="1"/>
  <c r="I17" i="6"/>
  <c r="G17" i="6"/>
  <c r="F17" i="6" s="1"/>
  <c r="I16" i="6"/>
  <c r="H17" i="6" s="1"/>
  <c r="G16" i="6"/>
  <c r="I15" i="6"/>
  <c r="H16" i="6" s="1"/>
  <c r="F16" i="6" s="1"/>
  <c r="G15" i="6"/>
  <c r="B15" i="6"/>
  <c r="I14" i="6"/>
  <c r="H15" i="6" s="1"/>
  <c r="F15" i="6" s="1"/>
  <c r="H14" i="6"/>
  <c r="G14" i="6"/>
  <c r="F14" i="6" s="1"/>
  <c r="I13" i="6"/>
  <c r="G13" i="6"/>
  <c r="F13" i="6" s="1"/>
  <c r="I12" i="6"/>
  <c r="H13" i="6" s="1"/>
  <c r="G12" i="6"/>
  <c r="I11" i="6"/>
  <c r="H12" i="6" s="1"/>
  <c r="F12" i="6" s="1"/>
  <c r="G11" i="6"/>
  <c r="F11" i="6" s="1"/>
  <c r="B11" i="6"/>
  <c r="I10" i="6"/>
  <c r="H11" i="6" s="1"/>
  <c r="H10" i="6"/>
  <c r="G10" i="6"/>
  <c r="F10" i="6" s="1"/>
  <c r="I9" i="6"/>
  <c r="H9" i="6"/>
  <c r="G9" i="6"/>
  <c r="F9" i="6" s="1"/>
  <c r="U8" i="6"/>
  <c r="U9" i="6" s="1"/>
  <c r="I8" i="6"/>
  <c r="H8" i="6"/>
  <c r="G8" i="6"/>
  <c r="F8" i="6" s="1"/>
  <c r="I7" i="6"/>
  <c r="G7" i="6"/>
  <c r="O6" i="6"/>
  <c r="K6" i="6"/>
  <c r="I6" i="6"/>
  <c r="H7" i="6" s="1"/>
  <c r="G6" i="6"/>
  <c r="U5" i="6"/>
  <c r="O5" i="6"/>
  <c r="I5" i="6"/>
  <c r="H6" i="6" s="1"/>
  <c r="H5" i="6"/>
  <c r="G5" i="6"/>
  <c r="F5" i="6" s="1"/>
  <c r="I4" i="6"/>
  <c r="H4" i="6" s="1"/>
  <c r="J4" i="6" s="1"/>
  <c r="G4" i="6"/>
  <c r="K30" i="6" s="1"/>
  <c r="B32" i="6"/>
  <c r="F3" i="6"/>
  <c r="J3" i="6" s="1"/>
  <c r="K27" i="4" l="1"/>
  <c r="K30" i="4"/>
  <c r="K22" i="4"/>
  <c r="K15" i="4"/>
  <c r="K7" i="4"/>
  <c r="K33" i="4"/>
  <c r="K5" i="4"/>
  <c r="K10" i="4"/>
  <c r="K25" i="4"/>
  <c r="K28" i="4"/>
  <c r="K20" i="4"/>
  <c r="J36" i="4" a="1"/>
  <c r="J36" i="4" s="1"/>
  <c r="K31" i="4"/>
  <c r="K23" i="4"/>
  <c r="J6" i="3"/>
  <c r="J9" i="3"/>
  <c r="J19" i="3"/>
  <c r="J17" i="3"/>
  <c r="J18" i="3"/>
  <c r="J31" i="3"/>
  <c r="J23" i="3"/>
  <c r="J11" i="3"/>
  <c r="J15" i="3"/>
  <c r="J27" i="3"/>
  <c r="J13" i="3"/>
  <c r="J10" i="3"/>
  <c r="J14" i="3"/>
  <c r="J12" i="3"/>
  <c r="J16" i="3"/>
  <c r="J20" i="3"/>
  <c r="J21" i="3"/>
  <c r="J8" i="3"/>
  <c r="J7" i="3"/>
  <c r="I37" i="3"/>
  <c r="J26" i="3"/>
  <c r="J28" i="3"/>
  <c r="J33" i="3"/>
  <c r="J29" i="3"/>
  <c r="J24" i="3"/>
  <c r="J32" i="3"/>
  <c r="J30" i="3"/>
  <c r="J25" i="3"/>
  <c r="I35" i="3"/>
  <c r="J22" i="3"/>
  <c r="J31" i="7"/>
  <c r="J15" i="7"/>
  <c r="J7" i="7"/>
  <c r="J8" i="7"/>
  <c r="J25" i="7"/>
  <c r="J12" i="7"/>
  <c r="J5" i="7"/>
  <c r="J6" i="7"/>
  <c r="G34" i="7"/>
  <c r="J17" i="7"/>
  <c r="G36" i="7"/>
  <c r="J10" i="7"/>
  <c r="J16" i="7"/>
  <c r="J24" i="7"/>
  <c r="J9" i="7"/>
  <c r="J23" i="7"/>
  <c r="J21" i="7"/>
  <c r="J14" i="7"/>
  <c r="J33" i="7"/>
  <c r="J20" i="7"/>
  <c r="J30" i="7"/>
  <c r="J11" i="7"/>
  <c r="J29" i="7"/>
  <c r="J26" i="7"/>
  <c r="J18" i="7"/>
  <c r="J32" i="7"/>
  <c r="J19" i="7"/>
  <c r="J27" i="7"/>
  <c r="J28" i="7"/>
  <c r="J22" i="7"/>
  <c r="J13" i="7"/>
  <c r="J19" i="6"/>
  <c r="J27" i="6"/>
  <c r="J11" i="6"/>
  <c r="J15" i="6"/>
  <c r="J23" i="6"/>
  <c r="J31" i="6"/>
  <c r="F25" i="6"/>
  <c r="F33" i="6"/>
  <c r="F6" i="6"/>
  <c r="F7" i="6"/>
  <c r="J32" i="6"/>
  <c r="K13" i="6"/>
  <c r="B5" i="6"/>
  <c r="J5" i="6" s="1"/>
  <c r="B8" i="6"/>
  <c r="J8" i="6" s="1"/>
  <c r="B9" i="6"/>
  <c r="J9" i="6" s="1"/>
  <c r="B10" i="6"/>
  <c r="J10" i="6" s="1"/>
  <c r="K12" i="6"/>
  <c r="B14" i="6"/>
  <c r="J14" i="6" s="1"/>
  <c r="K16" i="6"/>
  <c r="B18" i="6"/>
  <c r="J18" i="6" s="1"/>
  <c r="K20" i="6"/>
  <c r="B22" i="6"/>
  <c r="J22" i="6" s="1"/>
  <c r="K24" i="6"/>
  <c r="B26" i="6"/>
  <c r="J26" i="6" s="1"/>
  <c r="K28" i="6"/>
  <c r="B30" i="6"/>
  <c r="J30" i="6" s="1"/>
  <c r="K32" i="6"/>
  <c r="K21" i="6"/>
  <c r="K29" i="6"/>
  <c r="B6" i="6"/>
  <c r="B7" i="6"/>
  <c r="K11" i="6"/>
  <c r="B13" i="6"/>
  <c r="J13" i="6" s="1"/>
  <c r="K15" i="6"/>
  <c r="B17" i="6"/>
  <c r="J17" i="6" s="1"/>
  <c r="K19" i="6"/>
  <c r="B21" i="6"/>
  <c r="J21" i="6" s="1"/>
  <c r="K23" i="6"/>
  <c r="B25" i="6"/>
  <c r="K27" i="6"/>
  <c r="B29" i="6"/>
  <c r="J29" i="6" s="1"/>
  <c r="K31" i="6"/>
  <c r="B33" i="6"/>
  <c r="K7" i="6"/>
  <c r="K17" i="6"/>
  <c r="K25" i="6"/>
  <c r="K33" i="6"/>
  <c r="K5" i="6"/>
  <c r="K8" i="6"/>
  <c r="K9" i="6"/>
  <c r="K10" i="6"/>
  <c r="B12" i="6"/>
  <c r="J12" i="6" s="1"/>
  <c r="K14" i="6"/>
  <c r="B16" i="6"/>
  <c r="J16" i="6" s="1"/>
  <c r="K18" i="6"/>
  <c r="B20" i="6"/>
  <c r="J20" i="6" s="1"/>
  <c r="K22" i="6"/>
  <c r="B24" i="6"/>
  <c r="J24" i="6" s="1"/>
  <c r="K26" i="6"/>
  <c r="B28" i="6"/>
  <c r="J28" i="6" s="1"/>
  <c r="J25" i="6" l="1"/>
  <c r="J7" i="6"/>
  <c r="J33" i="6"/>
  <c r="J6" i="6"/>
  <c r="K33" i="2"/>
  <c r="H33" i="2"/>
  <c r="F33" i="2"/>
  <c r="B33" i="2"/>
  <c r="K32" i="2"/>
  <c r="H32" i="2"/>
  <c r="F32" i="2"/>
  <c r="B32" i="2"/>
  <c r="K31" i="2"/>
  <c r="H31" i="2"/>
  <c r="F31" i="2"/>
  <c r="B31" i="2"/>
  <c r="K30" i="2"/>
  <c r="H30" i="2"/>
  <c r="F30" i="2"/>
  <c r="B30" i="2"/>
  <c r="K29" i="2"/>
  <c r="H29" i="2"/>
  <c r="F29" i="2"/>
  <c r="B29" i="2"/>
  <c r="K28" i="2"/>
  <c r="H28" i="2"/>
  <c r="F28" i="2"/>
  <c r="B28" i="2"/>
  <c r="K27" i="2"/>
  <c r="H27" i="2"/>
  <c r="F27" i="2" s="1"/>
  <c r="B27" i="2"/>
  <c r="K26" i="2"/>
  <c r="H26" i="2"/>
  <c r="F26" i="2" s="1"/>
  <c r="B26" i="2"/>
  <c r="K25" i="2"/>
  <c r="H25" i="2"/>
  <c r="F25" i="2"/>
  <c r="B25" i="2"/>
  <c r="I25" i="2" s="1"/>
  <c r="K24" i="2"/>
  <c r="H24" i="2"/>
  <c r="B24" i="2"/>
  <c r="I24" i="2" s="1"/>
  <c r="K23" i="2"/>
  <c r="H23" i="2"/>
  <c r="F23" i="2" s="1"/>
  <c r="B23" i="2"/>
  <c r="K22" i="2"/>
  <c r="H22" i="2"/>
  <c r="F22" i="2" s="1"/>
  <c r="B22" i="2"/>
  <c r="K21" i="2"/>
  <c r="H21" i="2"/>
  <c r="F21" i="2" s="1"/>
  <c r="B21" i="2"/>
  <c r="K20" i="2"/>
  <c r="H20" i="2"/>
  <c r="F20" i="2"/>
  <c r="B20" i="2"/>
  <c r="K19" i="2"/>
  <c r="H19" i="2"/>
  <c r="F19" i="2" s="1"/>
  <c r="B19" i="2"/>
  <c r="K18" i="2"/>
  <c r="H18" i="2"/>
  <c r="F18" i="2"/>
  <c r="B18" i="2"/>
  <c r="K17" i="2"/>
  <c r="H17" i="2"/>
  <c r="F17" i="2" s="1"/>
  <c r="B17" i="2"/>
  <c r="K16" i="2"/>
  <c r="H16" i="2"/>
  <c r="F16" i="2" s="1"/>
  <c r="B16" i="2"/>
  <c r="K15" i="2"/>
  <c r="H15" i="2"/>
  <c r="F15" i="2" s="1"/>
  <c r="B15" i="2"/>
  <c r="K14" i="2"/>
  <c r="H14" i="2"/>
  <c r="F14" i="2"/>
  <c r="B14" i="2"/>
  <c r="K13" i="2"/>
  <c r="H13" i="2"/>
  <c r="F13" i="2" s="1"/>
  <c r="B13" i="2"/>
  <c r="K12" i="2"/>
  <c r="H12" i="2"/>
  <c r="F12" i="2"/>
  <c r="B12" i="2"/>
  <c r="K11" i="2"/>
  <c r="H11" i="2"/>
  <c r="F11" i="2" s="1"/>
  <c r="B11" i="2"/>
  <c r="K10" i="2"/>
  <c r="H10" i="2"/>
  <c r="F10" i="2" s="1"/>
  <c r="B10" i="2"/>
  <c r="K9" i="2"/>
  <c r="H9" i="2"/>
  <c r="F9" i="2" s="1"/>
  <c r="B9" i="2"/>
  <c r="K8" i="2"/>
  <c r="H8" i="2"/>
  <c r="F8" i="2" s="1"/>
  <c r="B8" i="2"/>
  <c r="K7" i="2"/>
  <c r="H7" i="2"/>
  <c r="F7" i="2" s="1"/>
  <c r="B7" i="2"/>
  <c r="P6" i="2"/>
  <c r="M8" i="2" s="1"/>
  <c r="I3" i="2" s="1"/>
  <c r="K6" i="2"/>
  <c r="H6" i="2"/>
  <c r="F6" i="2" s="1"/>
  <c r="B6" i="2"/>
  <c r="O5" i="2"/>
  <c r="K5" i="2"/>
  <c r="H5" i="2"/>
  <c r="F5" i="2" s="1"/>
  <c r="B5" i="2"/>
  <c r="K4" i="2"/>
  <c r="F4" i="2"/>
  <c r="I4" i="2" s="1"/>
  <c r="K3" i="2"/>
  <c r="J36" i="6" l="1"/>
  <c r="J34" i="6" a="1"/>
  <c r="J34" i="6" s="1"/>
  <c r="I8" i="2"/>
  <c r="I9" i="2"/>
  <c r="I23" i="2"/>
  <c r="I28" i="2"/>
  <c r="I29" i="2"/>
  <c r="I31" i="2"/>
  <c r="I33" i="2"/>
  <c r="I7" i="2"/>
  <c r="I22" i="2"/>
  <c r="I14" i="2"/>
  <c r="I15" i="2"/>
  <c r="I27" i="2"/>
  <c r="I17" i="2"/>
  <c r="I26" i="2"/>
  <c r="I6" i="2"/>
  <c r="I21" i="2"/>
  <c r="I30" i="2"/>
  <c r="I11" i="2"/>
  <c r="I19" i="2"/>
  <c r="I32" i="2"/>
  <c r="I5" i="2"/>
  <c r="J5" i="2" s="1"/>
  <c r="I13" i="2"/>
  <c r="J4" i="2"/>
  <c r="J3" i="2"/>
  <c r="I10" i="2"/>
  <c r="I18" i="2"/>
  <c r="I16" i="2"/>
  <c r="I12" i="2"/>
  <c r="I20" i="2"/>
  <c r="J8" i="2" l="1"/>
  <c r="J7" i="2"/>
  <c r="J6" i="2"/>
  <c r="J9" i="2"/>
  <c r="J28" i="2"/>
  <c r="J20" i="2"/>
  <c r="J29" i="2"/>
  <c r="J15" i="2"/>
  <c r="J23" i="2"/>
  <c r="J24" i="2"/>
  <c r="J32" i="2"/>
  <c r="J18" i="2"/>
  <c r="J14" i="2"/>
  <c r="J12" i="2"/>
  <c r="J33" i="2"/>
  <c r="J17" i="2"/>
  <c r="J26" i="2"/>
  <c r="J10" i="2"/>
  <c r="J31" i="2"/>
  <c r="J25" i="2"/>
  <c r="J13" i="2"/>
  <c r="J21" i="2"/>
  <c r="J30" i="2"/>
  <c r="G34" i="2" a="1"/>
  <c r="G34" i="2" s="1"/>
  <c r="G36" i="2"/>
  <c r="J22" i="2"/>
  <c r="J27" i="2"/>
  <c r="J16" i="2"/>
  <c r="J11" i="2"/>
  <c r="J19" i="2"/>
</calcChain>
</file>

<file path=xl/sharedStrings.xml><?xml version="1.0" encoding="utf-8"?>
<sst xmlns="http://schemas.openxmlformats.org/spreadsheetml/2006/main" count="171" uniqueCount="92">
  <si>
    <t>New Car</t>
  </si>
  <si>
    <t>Year</t>
  </si>
  <si>
    <t>Investment/ Operational Expenses</t>
  </si>
  <si>
    <t>Impact</t>
  </si>
  <si>
    <t>Number of Units sold</t>
  </si>
  <si>
    <t>Selling Price</t>
  </si>
  <si>
    <t>Cash Flow</t>
  </si>
  <si>
    <t>Cumulative Cash Flow</t>
  </si>
  <si>
    <t>Cumulative Sales</t>
  </si>
  <si>
    <t>Status</t>
  </si>
  <si>
    <t>Initial Investment/Operational Expenses</t>
  </si>
  <si>
    <t>Metrics</t>
  </si>
  <si>
    <t>Project Name&gt; - Executive Overview: The Idea. Why the Idea. Projected operational impacts. Expected financial impacts: NPV, Payback Period, IRR.</t>
  </si>
  <si>
    <t>Assumptions: This is the same slide as in Project 4.</t>
  </si>
  <si>
    <t>Metric Values: This is the same slide as in Project 4.</t>
  </si>
  <si>
    <t>For the Expected Values of the metrics, the following slides</t>
  </si>
  <si>
    <t>Inflation Rate</t>
  </si>
  <si>
    <t>Growth Rate</t>
  </si>
  <si>
    <t>Cash Flow Table: ideally organized by income statement and/or balance sheet</t>
  </si>
  <si>
    <t>Cash Flow Diagram and Metrics: diagram plus NPV, Payback Period, IRR (all on same slide)</t>
  </si>
  <si>
    <t>Cash Flow Digram Remaining</t>
  </si>
  <si>
    <t>Sensitivity Analysis - NPV Histogram showing distribution of NPV for 30 trials</t>
  </si>
  <si>
    <t>Expected lifetime of machinery to be 5 years</t>
  </si>
  <si>
    <t>Manufacturing capacity</t>
  </si>
  <si>
    <t>Expected Life Cycle of the battery to be 1-2 Years</t>
  </si>
  <si>
    <t xml:space="preserve">Capex changed to </t>
  </si>
  <si>
    <t>Ignore the fixed manufacturing capacity of 25000 cars</t>
  </si>
  <si>
    <t>Expected Life Cycle of the Car to be 5-6 Years</t>
  </si>
  <si>
    <t>NPV</t>
  </si>
  <si>
    <t>Payback Period</t>
  </si>
  <si>
    <t>IRR</t>
  </si>
  <si>
    <t>OpEX</t>
  </si>
  <si>
    <t>New Database System</t>
  </si>
  <si>
    <t>CapEx</t>
  </si>
  <si>
    <t>OpEx</t>
  </si>
  <si>
    <t>Expected Value</t>
  </si>
  <si>
    <t>Reduction in warranty cost by 50%</t>
  </si>
  <si>
    <t>Warranty Cost savings per unit</t>
  </si>
  <si>
    <t>Warranty Cost per Unit</t>
  </si>
  <si>
    <t>Cummulative Sales</t>
  </si>
  <si>
    <t>Capital Expense</t>
  </si>
  <si>
    <t>Hiring Expense</t>
  </si>
  <si>
    <t>Investment Metrics</t>
  </si>
  <si>
    <t>No. of Person</t>
  </si>
  <si>
    <t>Training Expense</t>
  </si>
  <si>
    <t>Interest rate (returns)</t>
  </si>
  <si>
    <t>Total Capital Expense</t>
  </si>
  <si>
    <t>Expense In Million USD</t>
  </si>
  <si>
    <t>Inflation rate (%/year)</t>
  </si>
  <si>
    <t>Operation Expense</t>
  </si>
  <si>
    <t>No of Products Repaired</t>
  </si>
  <si>
    <t>No of Products Repired in an Hour</t>
  </si>
  <si>
    <t>Total Hours Required</t>
  </si>
  <si>
    <t>Labor Cost ($/hr)</t>
  </si>
  <si>
    <t>Labor Cost ($)</t>
  </si>
  <si>
    <t>Yearly Subscription for Database System</t>
  </si>
  <si>
    <t>Material Cost</t>
  </si>
  <si>
    <t>Salary of Employees</t>
  </si>
  <si>
    <t>Total Opex</t>
  </si>
  <si>
    <t>Expense in Million USD</t>
  </si>
  <si>
    <t>CapEX</t>
  </si>
  <si>
    <t>Expected Life Cycle of Database system to be 5 Years</t>
  </si>
  <si>
    <t>Capex</t>
  </si>
  <si>
    <t>Opex</t>
  </si>
  <si>
    <t>Pessimistic</t>
  </si>
  <si>
    <t>Most likely</t>
  </si>
  <si>
    <t>Optimistic</t>
  </si>
  <si>
    <t>STDEV</t>
  </si>
  <si>
    <t>Selling Price per car</t>
  </si>
  <si>
    <t>Total Number of Cars Sold</t>
  </si>
  <si>
    <t>Total Revenue</t>
  </si>
  <si>
    <t>Investment</t>
  </si>
  <si>
    <t xml:space="preserve">IRR </t>
  </si>
  <si>
    <t>Payback period</t>
  </si>
  <si>
    <t>Forecasting team</t>
  </si>
  <si>
    <t>Renovating the layout of warehouse</t>
  </si>
  <si>
    <t>Kaizen team</t>
  </si>
  <si>
    <t>Purchase cost</t>
  </si>
  <si>
    <t>Total Cost</t>
  </si>
  <si>
    <t>Inventory Cost</t>
  </si>
  <si>
    <t>NPV( in Millions)</t>
  </si>
  <si>
    <t>NPV (in millions)</t>
  </si>
  <si>
    <t>NPV(in millons)</t>
  </si>
  <si>
    <t>Labor Savings</t>
  </si>
  <si>
    <t>Lifetime</t>
  </si>
  <si>
    <t>10 years</t>
  </si>
  <si>
    <t>Salvage Value</t>
  </si>
  <si>
    <t>Years</t>
  </si>
  <si>
    <t>NPV(in millions)</t>
  </si>
  <si>
    <t>Battery Capacity</t>
  </si>
  <si>
    <t>Labour Cost Saved</t>
  </si>
  <si>
    <t>Labour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</si>
</sst>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#,##0,,;\-#,##0,,"/>
  </numFmts>
  <fonts count="24">
    <font>
      <sz val="10"/>
      <color rgb="FF000000"/>
      <name val="Arial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2D3B45"/>
      <name val="LatoWeb"/>
    </font>
    <font>
      <sz val="10"/>
      <name val="Arial"/>
      <family val="2"/>
    </font>
    <font>
      <b/>
      <sz val="10"/>
      <name val="Arial"/>
      <family val="2"/>
    </font>
    <font>
      <sz val="10"/>
      <color rgb="FF2D3B45"/>
      <name val="LatoWeb"/>
    </font>
    <font>
      <b/>
      <sz val="10"/>
      <color rgb="FF2D3B45"/>
      <name val="LatoWeb"/>
    </font>
    <font>
      <sz val="12"/>
      <color rgb="FF000000"/>
      <name val="'Times New Roman'"/>
    </font>
    <font>
      <sz val="10"/>
      <color rgb="FF000000"/>
      <name val="Arial"/>
      <family val="2"/>
    </font>
    <font>
      <sz val="14"/>
      <name val="Times New Roman"/>
      <family val="1"/>
    </font>
    <font>
      <sz val="14"/>
      <color rgb="FF000000"/>
      <name val="Times New Roman"/>
      <family val="1"/>
    </font>
    <font>
      <b/>
      <sz val="14"/>
      <name val="Times New Roman"/>
      <family val="1"/>
    </font>
    <font>
      <sz val="10"/>
      <color rgb="FF000000"/>
      <name val="Arial"/>
    </font>
    <font>
      <b/>
      <sz val="10"/>
      <color rgb="FF000000"/>
      <name val="Arial"/>
    </font>
    <font>
      <sz val="11"/>
      <color rgb="FF000000"/>
      <name val="Calibri"/>
      <family val="2"/>
    </font>
    <font>
      <b/>
      <sz val="10"/>
      <name val="Arial"/>
    </font>
    <font>
      <sz val="11"/>
      <color rgb="FF000000"/>
      <name val="Inconsolata"/>
    </font>
    <font>
      <b/>
      <sz val="14"/>
      <color rgb="FF000000"/>
      <name val="Times New Roman"/>
    </font>
    <font>
      <sz val="14"/>
      <name val="Times New Roman"/>
    </font>
    <font>
      <sz val="14"/>
      <color rgb="FF000000"/>
      <name val="Times New Roman"/>
    </font>
    <font>
      <b/>
      <sz val="10"/>
      <color rgb="FF000000"/>
      <name val="Arial"/>
      <family val="2"/>
    </font>
    <font>
      <sz val="12"/>
      <color rgb="FF000000"/>
      <name val="Times New Roman"/>
      <family val="1"/>
    </font>
    <font>
      <sz val="12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FF00"/>
        <bgColor rgb="FF00FF00"/>
      </patternFill>
    </fill>
    <fill>
      <patternFill patternType="solid">
        <fgColor rgb="FFFFFF00"/>
        <bgColor rgb="FFFFFF00"/>
      </patternFill>
    </fill>
    <fill>
      <patternFill patternType="solid">
        <fgColor rgb="FFCFE2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15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3" fillId="2" borderId="0" xfId="0" applyFont="1" applyFill="1" applyAlignment="1"/>
    <xf numFmtId="0" fontId="2" fillId="0" borderId="1" xfId="0" applyFont="1" applyBorder="1" applyAlignment="1">
      <alignment horizontal="center"/>
    </xf>
    <xf numFmtId="0" fontId="4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1" xfId="0" applyFont="1" applyBorder="1" applyAlignment="1"/>
    <xf numFmtId="0" fontId="4" fillId="3" borderId="0" xfId="0" applyFont="1" applyFill="1"/>
    <xf numFmtId="4" fontId="1" fillId="0" borderId="0" xfId="0" applyNumberFormat="1" applyFont="1" applyAlignment="1"/>
    <xf numFmtId="0" fontId="1" fillId="0" borderId="1" xfId="0" applyFont="1" applyBorder="1" applyAlignment="1"/>
    <xf numFmtId="9" fontId="4" fillId="0" borderId="0" xfId="0" applyNumberFormat="1" applyFont="1" applyAlignment="1"/>
    <xf numFmtId="164" fontId="1" fillId="0" borderId="1" xfId="0" applyNumberFormat="1" applyFont="1" applyBorder="1" applyAlignment="1"/>
    <xf numFmtId="0" fontId="6" fillId="2" borderId="0" xfId="0" applyFont="1" applyFill="1" applyAlignment="1"/>
    <xf numFmtId="4" fontId="1" fillId="0" borderId="1" xfId="0" applyNumberFormat="1" applyFont="1" applyBorder="1" applyAlignment="1"/>
    <xf numFmtId="0" fontId="4" fillId="2" borderId="0" xfId="0" applyFont="1" applyFill="1"/>
    <xf numFmtId="0" fontId="4" fillId="4" borderId="0" xfId="0" applyFont="1" applyFill="1"/>
    <xf numFmtId="164" fontId="1" fillId="0" borderId="0" xfId="0" applyNumberFormat="1" applyFont="1" applyAlignment="1"/>
    <xf numFmtId="0" fontId="1" fillId="0" borderId="1" xfId="0" applyFont="1" applyBorder="1" applyAlignment="1"/>
    <xf numFmtId="0" fontId="7" fillId="2" borderId="0" xfId="0" applyFont="1" applyFill="1" applyAlignment="1"/>
    <xf numFmtId="164" fontId="1" fillId="0" borderId="1" xfId="0" applyNumberFormat="1" applyFont="1" applyBorder="1" applyAlignment="1"/>
    <xf numFmtId="164" fontId="4" fillId="0" borderId="0" xfId="0" applyNumberFormat="1" applyFont="1"/>
    <xf numFmtId="0" fontId="4" fillId="0" borderId="1" xfId="0" applyFont="1" applyBorder="1" applyAlignment="1"/>
    <xf numFmtId="0" fontId="5" fillId="0" borderId="0" xfId="0" applyFont="1" applyAlignment="1"/>
    <xf numFmtId="164" fontId="5" fillId="0" borderId="0" xfId="0" applyNumberFormat="1" applyFont="1" applyAlignment="1"/>
    <xf numFmtId="9" fontId="5" fillId="0" borderId="0" xfId="0" applyNumberFormat="1" applyFont="1"/>
    <xf numFmtId="164" fontId="5" fillId="0" borderId="0" xfId="0" applyNumberFormat="1" applyFont="1" applyAlignment="1"/>
    <xf numFmtId="0" fontId="1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" fillId="0" borderId="0" xfId="0" applyFont="1" applyAlignment="1"/>
    <xf numFmtId="0" fontId="14" fillId="0" borderId="0" xfId="0" applyFont="1" applyAlignment="1"/>
    <xf numFmtId="0" fontId="13" fillId="0" borderId="0" xfId="0" applyFont="1" applyAlignment="1"/>
    <xf numFmtId="0" fontId="14" fillId="0" borderId="1" xfId="0" applyFont="1" applyBorder="1" applyAlignment="1"/>
    <xf numFmtId="9" fontId="13" fillId="0" borderId="0" xfId="0" applyNumberFormat="1" applyFont="1" applyAlignment="1">
      <alignment horizontal="right"/>
    </xf>
    <xf numFmtId="0" fontId="13" fillId="0" borderId="1" xfId="0" applyFont="1" applyBorder="1" applyAlignment="1"/>
    <xf numFmtId="9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right"/>
    </xf>
    <xf numFmtId="165" fontId="13" fillId="0" borderId="1" xfId="0" applyNumberFormat="1" applyFont="1" applyBorder="1" applyAlignment="1">
      <alignment horizontal="right"/>
    </xf>
    <xf numFmtId="165" fontId="13" fillId="0" borderId="1" xfId="0" applyNumberFormat="1" applyFont="1" applyBorder="1" applyAlignment="1"/>
    <xf numFmtId="164" fontId="13" fillId="0" borderId="1" xfId="0" applyNumberFormat="1" applyFont="1" applyBorder="1" applyAlignment="1">
      <alignment horizontal="right"/>
    </xf>
    <xf numFmtId="164" fontId="13" fillId="0" borderId="0" xfId="0" applyNumberFormat="1" applyFont="1" applyAlignment="1">
      <alignment horizontal="right"/>
    </xf>
    <xf numFmtId="1" fontId="13" fillId="0" borderId="1" xfId="0" applyNumberFormat="1" applyFont="1" applyBorder="1" applyAlignment="1">
      <alignment horizontal="right"/>
    </xf>
    <xf numFmtId="164" fontId="13" fillId="0" borderId="1" xfId="0" applyNumberFormat="1" applyFont="1" applyBorder="1" applyAlignment="1"/>
    <xf numFmtId="0" fontId="13" fillId="4" borderId="1" xfId="0" applyFont="1" applyFill="1" applyBorder="1" applyAlignment="1"/>
    <xf numFmtId="164" fontId="13" fillId="0" borderId="0" xfId="0" applyNumberFormat="1" applyFont="1" applyAlignment="1"/>
    <xf numFmtId="0" fontId="13" fillId="2" borderId="0" xfId="0" applyFont="1" applyFill="1" applyAlignment="1"/>
    <xf numFmtId="4" fontId="13" fillId="0" borderId="0" xfId="0" applyNumberFormat="1" applyFont="1" applyAlignment="1"/>
    <xf numFmtId="4" fontId="13" fillId="0" borderId="1" xfId="0" applyNumberFormat="1" applyFont="1" applyBorder="1" applyAlignment="1"/>
    <xf numFmtId="165" fontId="13" fillId="0" borderId="0" xfId="0" applyNumberFormat="1" applyFont="1" applyAlignment="1">
      <alignment horizontal="right"/>
    </xf>
    <xf numFmtId="0" fontId="0" fillId="0" borderId="0" xfId="0" applyFont="1" applyBorder="1" applyAlignment="1"/>
    <xf numFmtId="0" fontId="10" fillId="0" borderId="0" xfId="0" applyFont="1" applyBorder="1" applyAlignment="1"/>
    <xf numFmtId="0" fontId="4" fillId="0" borderId="0" xfId="0" applyFont="1" applyBorder="1" applyAlignment="1"/>
    <xf numFmtId="0" fontId="12" fillId="0" borderId="0" xfId="0" applyFont="1" applyBorder="1" applyAlignment="1"/>
    <xf numFmtId="164" fontId="12" fillId="0" borderId="0" xfId="0" applyNumberFormat="1" applyFont="1" applyBorder="1"/>
    <xf numFmtId="9" fontId="12" fillId="0" borderId="0" xfId="0" applyNumberFormat="1" applyFont="1" applyBorder="1"/>
    <xf numFmtId="0" fontId="9" fillId="5" borderId="3" xfId="0" applyFont="1" applyFill="1" applyBorder="1" applyAlignment="1">
      <alignment wrapText="1"/>
    </xf>
    <xf numFmtId="0" fontId="9" fillId="5" borderId="4" xfId="0" applyFont="1" applyFill="1" applyBorder="1" applyAlignment="1">
      <alignment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wrapText="1"/>
    </xf>
    <xf numFmtId="0" fontId="9" fillId="0" borderId="6" xfId="0" applyFont="1" applyBorder="1" applyAlignment="1">
      <alignment horizontal="right" wrapText="1"/>
    </xf>
    <xf numFmtId="0" fontId="15" fillId="0" borderId="6" xfId="0" applyFont="1" applyBorder="1" applyAlignment="1">
      <alignment horizontal="right" wrapText="1"/>
    </xf>
    <xf numFmtId="0" fontId="9" fillId="6" borderId="5" xfId="0" applyFont="1" applyFill="1" applyBorder="1" applyAlignment="1">
      <alignment wrapText="1"/>
    </xf>
    <xf numFmtId="4" fontId="9" fillId="0" borderId="6" xfId="0" applyNumberFormat="1" applyFont="1" applyBorder="1" applyAlignment="1">
      <alignment horizontal="right" wrapText="1"/>
    </xf>
    <xf numFmtId="4" fontId="15" fillId="0" borderId="6" xfId="0" applyNumberFormat="1" applyFont="1" applyBorder="1" applyAlignment="1">
      <alignment horizontal="right" wrapText="1"/>
    </xf>
    <xf numFmtId="10" fontId="9" fillId="0" borderId="6" xfId="0" applyNumberFormat="1" applyFont="1" applyBorder="1" applyAlignment="1">
      <alignment horizontal="right" wrapText="1"/>
    </xf>
    <xf numFmtId="0" fontId="0" fillId="0" borderId="0" xfId="0" applyFont="1" applyAlignment="1"/>
    <xf numFmtId="0" fontId="17" fillId="2" borderId="0" xfId="0" applyFont="1" applyFill="1"/>
    <xf numFmtId="0" fontId="16" fillId="0" borderId="0" xfId="0" applyFont="1" applyAlignment="1"/>
    <xf numFmtId="9" fontId="16" fillId="0" borderId="0" xfId="0" applyNumberFormat="1" applyFont="1"/>
    <xf numFmtId="0" fontId="18" fillId="0" borderId="1" xfId="0" applyFont="1" applyBorder="1" applyAlignment="1"/>
    <xf numFmtId="0" fontId="19" fillId="0" borderId="1" xfId="0" applyFont="1" applyBorder="1"/>
    <xf numFmtId="0" fontId="20" fillId="0" borderId="1" xfId="0" applyFont="1" applyBorder="1" applyAlignment="1"/>
    <xf numFmtId="0" fontId="19" fillId="0" borderId="1" xfId="0" applyFont="1" applyBorder="1" applyAlignment="1"/>
    <xf numFmtId="164" fontId="20" fillId="0" borderId="1" xfId="0" applyNumberFormat="1" applyFont="1" applyBorder="1" applyAlignment="1">
      <alignment horizontal="right"/>
    </xf>
    <xf numFmtId="0" fontId="19" fillId="0" borderId="0" xfId="0" applyFont="1" applyAlignment="1"/>
    <xf numFmtId="0" fontId="19" fillId="0" borderId="0" xfId="0" applyFont="1"/>
    <xf numFmtId="10" fontId="20" fillId="0" borderId="1" xfId="0" applyNumberFormat="1" applyFont="1" applyBorder="1" applyAlignment="1">
      <alignment horizontal="right"/>
    </xf>
    <xf numFmtId="164" fontId="19" fillId="0" borderId="1" xfId="0" applyNumberFormat="1" applyFont="1" applyBorder="1" applyAlignment="1">
      <alignment vertical="top"/>
    </xf>
    <xf numFmtId="164" fontId="16" fillId="0" borderId="0" xfId="0" applyNumberFormat="1" applyFont="1"/>
    <xf numFmtId="0" fontId="19" fillId="0" borderId="0" xfId="0" applyFont="1" applyBorder="1" applyAlignment="1"/>
    <xf numFmtId="0" fontId="4" fillId="0" borderId="8" xfId="0" applyFont="1" applyBorder="1" applyAlignment="1"/>
    <xf numFmtId="0" fontId="12" fillId="0" borderId="8" xfId="0" applyFont="1" applyBorder="1" applyAlignment="1"/>
    <xf numFmtId="0" fontId="11" fillId="0" borderId="8" xfId="0" applyFont="1" applyBorder="1" applyAlignment="1"/>
    <xf numFmtId="0" fontId="11" fillId="0" borderId="9" xfId="0" applyFont="1" applyBorder="1" applyAlignment="1"/>
    <xf numFmtId="0" fontId="10" fillId="0" borderId="8" xfId="0" applyFont="1" applyBorder="1" applyAlignment="1"/>
    <xf numFmtId="164" fontId="10" fillId="0" borderId="8" xfId="0" applyNumberFormat="1" applyFont="1" applyBorder="1"/>
    <xf numFmtId="164" fontId="10" fillId="0" borderId="8" xfId="0" applyNumberFormat="1" applyFont="1" applyBorder="1" applyAlignment="1">
      <alignment horizontal="right"/>
    </xf>
    <xf numFmtId="0" fontId="10" fillId="0" borderId="8" xfId="0" applyFont="1" applyBorder="1"/>
    <xf numFmtId="164" fontId="10" fillId="0" borderId="9" xfId="0" applyNumberFormat="1" applyFont="1" applyBorder="1"/>
    <xf numFmtId="0" fontId="10" fillId="0" borderId="9" xfId="0" applyFont="1" applyBorder="1"/>
    <xf numFmtId="164" fontId="10" fillId="0" borderId="8" xfId="0" applyNumberFormat="1" applyFont="1" applyBorder="1" applyAlignment="1"/>
    <xf numFmtId="0" fontId="11" fillId="0" borderId="2" xfId="0" applyFont="1" applyBorder="1" applyAlignment="1">
      <alignment horizontal="right" wrapText="1"/>
    </xf>
    <xf numFmtId="166" fontId="1" fillId="0" borderId="1" xfId="0" applyNumberFormat="1" applyFont="1" applyBorder="1" applyAlignment="1"/>
    <xf numFmtId="166" fontId="11" fillId="0" borderId="2" xfId="0" applyNumberFormat="1" applyFont="1" applyBorder="1" applyAlignment="1">
      <alignment horizontal="right" wrapText="1"/>
    </xf>
    <xf numFmtId="166" fontId="13" fillId="0" borderId="1" xfId="0" applyNumberFormat="1" applyFont="1" applyBorder="1" applyAlignment="1"/>
    <xf numFmtId="0" fontId="21" fillId="0" borderId="1" xfId="0" applyFont="1" applyBorder="1" applyAlignment="1"/>
    <xf numFmtId="0" fontId="4" fillId="0" borderId="1" xfId="0" applyFont="1" applyBorder="1"/>
    <xf numFmtId="9" fontId="4" fillId="0" borderId="1" xfId="0" applyNumberFormat="1" applyFont="1" applyBorder="1" applyAlignment="1">
      <alignment horizontal="left"/>
    </xf>
    <xf numFmtId="164" fontId="17" fillId="2" borderId="1" xfId="0" applyNumberFormat="1" applyFont="1" applyFill="1" applyBorder="1" applyAlignment="1">
      <alignment horizontal="right"/>
    </xf>
    <xf numFmtId="164" fontId="17" fillId="2" borderId="7" xfId="0" applyNumberFormat="1" applyFont="1" applyFill="1" applyBorder="1" applyAlignment="1">
      <alignment horizontal="right"/>
    </xf>
    <xf numFmtId="10" fontId="4" fillId="0" borderId="1" xfId="0" applyNumberFormat="1" applyFont="1" applyBorder="1" applyAlignment="1">
      <alignment horizontal="left"/>
    </xf>
    <xf numFmtId="164" fontId="17" fillId="2" borderId="10" xfId="0" applyNumberFormat="1" applyFont="1" applyFill="1" applyBorder="1" applyAlignment="1">
      <alignment horizontal="right"/>
    </xf>
    <xf numFmtId="164" fontId="17" fillId="2" borderId="11" xfId="0" applyNumberFormat="1" applyFont="1" applyFill="1" applyBorder="1" applyAlignment="1">
      <alignment horizontal="right"/>
    </xf>
    <xf numFmtId="0" fontId="4" fillId="0" borderId="1" xfId="0" applyFont="1" applyBorder="1" applyAlignment="1">
      <alignment horizontal="left"/>
    </xf>
    <xf numFmtId="0" fontId="4" fillId="0" borderId="0" xfId="0" applyFont="1" applyAlignment="1">
      <alignment horizontal="left"/>
    </xf>
    <xf numFmtId="2" fontId="5" fillId="0" borderId="0" xfId="0" applyNumberFormat="1" applyFont="1" applyAlignment="1"/>
    <xf numFmtId="0" fontId="1" fillId="0" borderId="8" xfId="0" applyFont="1" applyBorder="1" applyAlignment="1"/>
    <xf numFmtId="164" fontId="1" fillId="0" borderId="8" xfId="0" applyNumberFormat="1" applyFont="1" applyBorder="1" applyAlignment="1"/>
    <xf numFmtId="4" fontId="1" fillId="0" borderId="8" xfId="0" applyNumberFormat="1" applyFont="1" applyBorder="1" applyAlignment="1"/>
    <xf numFmtId="166" fontId="1" fillId="0" borderId="8" xfId="0" applyNumberFormat="1" applyFont="1" applyBorder="1" applyAlignment="1"/>
    <xf numFmtId="0" fontId="1" fillId="0" borderId="8" xfId="0" applyFont="1" applyBorder="1" applyAlignment="1">
      <alignment horizontal="right"/>
    </xf>
    <xf numFmtId="2" fontId="1" fillId="0" borderId="8" xfId="0" applyNumberFormat="1" applyFont="1" applyBorder="1" applyAlignment="1"/>
    <xf numFmtId="0" fontId="1" fillId="0" borderId="0" xfId="0" applyFont="1" applyBorder="1" applyAlignment="1"/>
    <xf numFmtId="164" fontId="1" fillId="0" borderId="0" xfId="0" applyNumberFormat="1" applyFont="1" applyBorder="1" applyAlignment="1"/>
    <xf numFmtId="4" fontId="1" fillId="0" borderId="0" xfId="0" applyNumberFormat="1" applyFont="1" applyBorder="1" applyAlignment="1"/>
    <xf numFmtId="0" fontId="5" fillId="0" borderId="0" xfId="0" applyFont="1" applyBorder="1" applyAlignment="1"/>
    <xf numFmtId="164" fontId="5" fillId="0" borderId="0" xfId="0" applyNumberFormat="1" applyFont="1" applyBorder="1" applyAlignment="1"/>
    <xf numFmtId="0" fontId="9" fillId="0" borderId="0" xfId="0" applyFont="1" applyBorder="1" applyAlignment="1">
      <alignment horizontal="right" wrapText="1"/>
    </xf>
    <xf numFmtId="164" fontId="9" fillId="2" borderId="0" xfId="0" applyNumberFormat="1" applyFont="1" applyFill="1" applyAlignment="1">
      <alignment horizontal="right"/>
    </xf>
    <xf numFmtId="0" fontId="1" fillId="2" borderId="0" xfId="0" applyFont="1" applyFill="1" applyAlignment="1"/>
    <xf numFmtId="0" fontId="4" fillId="2" borderId="0" xfId="0" applyFont="1" applyFill="1" applyAlignment="1"/>
    <xf numFmtId="164" fontId="1" fillId="2" borderId="0" xfId="0" applyNumberFormat="1" applyFont="1" applyFill="1" applyAlignment="1"/>
    <xf numFmtId="0" fontId="2" fillId="0" borderId="12" xfId="0" applyFont="1" applyBorder="1" applyAlignment="1">
      <alignment horizontal="center"/>
    </xf>
    <xf numFmtId="164" fontId="1" fillId="0" borderId="12" xfId="0" applyNumberFormat="1" applyFont="1" applyBorder="1" applyAlignment="1"/>
    <xf numFmtId="0" fontId="2" fillId="0" borderId="7" xfId="0" applyFont="1" applyBorder="1" applyAlignment="1">
      <alignment horizontal="center"/>
    </xf>
    <xf numFmtId="0" fontId="1" fillId="0" borderId="7" xfId="0" applyFont="1" applyBorder="1" applyAlignment="1"/>
    <xf numFmtId="164" fontId="1" fillId="0" borderId="7" xfId="0" applyNumberFormat="1" applyFont="1" applyBorder="1" applyAlignment="1"/>
    <xf numFmtId="0" fontId="9" fillId="0" borderId="8" xfId="0" applyFont="1" applyBorder="1" applyAlignment="1">
      <alignment horizontal="right" wrapText="1"/>
    </xf>
    <xf numFmtId="0" fontId="0" fillId="0" borderId="8" xfId="0" applyFont="1" applyBorder="1" applyAlignment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9" fillId="0" borderId="16" xfId="0" applyFont="1" applyBorder="1" applyAlignment="1">
      <alignment horizontal="right" wrapText="1"/>
    </xf>
    <xf numFmtId="164" fontId="1" fillId="0" borderId="17" xfId="0" applyNumberFormat="1" applyFont="1" applyBorder="1" applyAlignment="1"/>
    <xf numFmtId="0" fontId="0" fillId="0" borderId="16" xfId="0" applyFont="1" applyBorder="1" applyAlignment="1"/>
    <xf numFmtId="166" fontId="1" fillId="0" borderId="17" xfId="0" applyNumberFormat="1" applyFont="1" applyBorder="1" applyAlignment="1"/>
    <xf numFmtId="0" fontId="0" fillId="0" borderId="18" xfId="0" applyFont="1" applyBorder="1" applyAlignment="1"/>
    <xf numFmtId="0" fontId="0" fillId="0" borderId="19" xfId="0" applyFont="1" applyBorder="1" applyAlignment="1"/>
    <xf numFmtId="166" fontId="1" fillId="0" borderId="20" xfId="0" applyNumberFormat="1" applyFont="1" applyBorder="1" applyAlignment="1"/>
    <xf numFmtId="0" fontId="13" fillId="0" borderId="0" xfId="0" applyFont="1" applyAlignment="1"/>
    <xf numFmtId="0" fontId="0" fillId="0" borderId="0" xfId="0" applyFont="1" applyAlignment="1"/>
    <xf numFmtId="0" fontId="17" fillId="6" borderId="8" xfId="0" applyFont="1" applyFill="1" applyBorder="1" applyAlignment="1">
      <alignment horizontal="right" wrapText="1"/>
    </xf>
    <xf numFmtId="0" fontId="17" fillId="6" borderId="14" xfId="0" applyFont="1" applyFill="1" applyBorder="1" applyAlignment="1">
      <alignment horizontal="right" wrapText="1"/>
    </xf>
    <xf numFmtId="0" fontId="17" fillId="6" borderId="16" xfId="0" applyFont="1" applyFill="1" applyBorder="1" applyAlignment="1">
      <alignment horizontal="right" wrapText="1"/>
    </xf>
    <xf numFmtId="0" fontId="17" fillId="6" borderId="18" xfId="0" applyFont="1" applyFill="1" applyBorder="1" applyAlignment="1">
      <alignment horizontal="right" wrapText="1"/>
    </xf>
    <xf numFmtId="0" fontId="17" fillId="6" borderId="19" xfId="0" applyFont="1" applyFill="1" applyBorder="1" applyAlignment="1">
      <alignment horizontal="right" wrapText="1"/>
    </xf>
    <xf numFmtId="166" fontId="22" fillId="0" borderId="15" xfId="1" applyNumberFormat="1" applyFont="1" applyBorder="1" applyAlignment="1"/>
    <xf numFmtId="166" fontId="22" fillId="0" borderId="17" xfId="1" applyNumberFormat="1" applyFont="1" applyBorder="1" applyAlignment="1"/>
    <xf numFmtId="166" fontId="23" fillId="0" borderId="17" xfId="1" applyNumberFormat="1" applyFont="1" applyBorder="1"/>
    <xf numFmtId="166" fontId="22" fillId="2" borderId="17" xfId="1" applyNumberFormat="1" applyFont="1" applyFill="1" applyBorder="1" applyAlignment="1">
      <alignment horizontal="right"/>
    </xf>
    <xf numFmtId="166" fontId="23" fillId="2" borderId="20" xfId="1" applyNumberFormat="1" applyFont="1" applyFill="1" applyBorder="1"/>
    <xf numFmtId="0" fontId="17" fillId="6" borderId="21" xfId="0" applyFont="1" applyFill="1" applyBorder="1" applyAlignment="1">
      <alignment horizontal="right" wrapText="1"/>
    </xf>
    <xf numFmtId="164" fontId="8" fillId="7" borderId="22" xfId="0" applyNumberFormat="1" applyFont="1" applyFill="1" applyBorder="1" applyAlignment="1">
      <alignment horizontal="right"/>
    </xf>
    <xf numFmtId="164" fontId="8" fillId="7" borderId="23" xfId="0" applyNumberFormat="1" applyFont="1" applyFill="1" applyBorder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  <a:r>
              <a:rPr lang="en-US" baseline="0"/>
              <a:t> - Labour Cost Reduction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'Labour Cost Reduction'!$E$4:$E$33</c:f>
              <c:numCache>
                <c:formatCode>#,##0,,;\-#,##0,,</c:formatCode>
                <c:ptCount val="30"/>
                <c:pt idx="0">
                  <c:v>354781632.02890003</c:v>
                </c:pt>
                <c:pt idx="1">
                  <c:v>355148600.05690002</c:v>
                </c:pt>
                <c:pt idx="2">
                  <c:v>355036667.60250002</c:v>
                </c:pt>
                <c:pt idx="3">
                  <c:v>354906138.8761</c:v>
                </c:pt>
                <c:pt idx="4">
                  <c:v>354017433.32179999</c:v>
                </c:pt>
                <c:pt idx="5">
                  <c:v>355005554.27670002</c:v>
                </c:pt>
                <c:pt idx="6">
                  <c:v>354344097.1027</c:v>
                </c:pt>
                <c:pt idx="7">
                  <c:v>353576137.32139999</c:v>
                </c:pt>
                <c:pt idx="8">
                  <c:v>353196183.75379997</c:v>
                </c:pt>
                <c:pt idx="9">
                  <c:v>353908685.2863</c:v>
                </c:pt>
                <c:pt idx="10">
                  <c:v>354459397.05680001</c:v>
                </c:pt>
                <c:pt idx="11">
                  <c:v>354361799.88739997</c:v>
                </c:pt>
                <c:pt idx="12">
                  <c:v>354814892.19599998</c:v>
                </c:pt>
                <c:pt idx="13">
                  <c:v>354496694.4016</c:v>
                </c:pt>
                <c:pt idx="14">
                  <c:v>354206914.44700003</c:v>
                </c:pt>
                <c:pt idx="15">
                  <c:v>353363688.79939997</c:v>
                </c:pt>
                <c:pt idx="16">
                  <c:v>355324466.99169999</c:v>
                </c:pt>
                <c:pt idx="17">
                  <c:v>354183214.89300001</c:v>
                </c:pt>
                <c:pt idx="18">
                  <c:v>354044743.73769999</c:v>
                </c:pt>
                <c:pt idx="19">
                  <c:v>355132636.8908</c:v>
                </c:pt>
                <c:pt idx="20">
                  <c:v>354126873.19459999</c:v>
                </c:pt>
                <c:pt idx="21">
                  <c:v>354910880.88620001</c:v>
                </c:pt>
                <c:pt idx="22">
                  <c:v>355037658.21670002</c:v>
                </c:pt>
                <c:pt idx="23">
                  <c:v>354162833.10170001</c:v>
                </c:pt>
                <c:pt idx="24">
                  <c:v>355018700.91280001</c:v>
                </c:pt>
                <c:pt idx="25">
                  <c:v>354492028.97549999</c:v>
                </c:pt>
                <c:pt idx="26">
                  <c:v>353827821.44389999</c:v>
                </c:pt>
                <c:pt idx="27">
                  <c:v>353712888.01719999</c:v>
                </c:pt>
                <c:pt idx="28">
                  <c:v>353243169.36650002</c:v>
                </c:pt>
                <c:pt idx="29">
                  <c:v>354232462.10799998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F-496A-B88F-ABC2DBB32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9129808"/>
        <c:axId val="549130136"/>
      </c:barChart>
      <c:catAx>
        <c:axId val="54912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30136"/>
        <c:crosses val="autoZero"/>
        <c:auto val="1"/>
        <c:lblAlgn val="ctr"/>
        <c:lblOffset val="100"/>
        <c:noMultiLvlLbl val="0"/>
      </c:catAx>
      <c:valAx>
        <c:axId val="549130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  <a:r>
                  <a:rPr lang="en-US" baseline="0"/>
                  <a:t> (in millions)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1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NPV</a:t>
            </a:r>
            <a:r>
              <a:rPr lang="en-US" sz="1800" b="1" baseline="0"/>
              <a:t> - Apple Car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78540726279828"/>
          <c:y val="0.11636078431372548"/>
          <c:w val="0.84402621705703207"/>
          <c:h val="0.738060213061602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'Apple car'!$E$4:$E$33</c:f>
              <c:numCache>
                <c:formatCode>#,##0,,;\-#,##0,,</c:formatCode>
                <c:ptCount val="30"/>
                <c:pt idx="0">
                  <c:v>17388261064.036598</c:v>
                </c:pt>
                <c:pt idx="1">
                  <c:v>23114561709.662701</c:v>
                </c:pt>
                <c:pt idx="2">
                  <c:v>14357691158.3605</c:v>
                </c:pt>
                <c:pt idx="3">
                  <c:v>17430550270.9496</c:v>
                </c:pt>
                <c:pt idx="4">
                  <c:v>19475499136.741901</c:v>
                </c:pt>
                <c:pt idx="5">
                  <c:v>20949736215.558601</c:v>
                </c:pt>
                <c:pt idx="6">
                  <c:v>16157983262.0065</c:v>
                </c:pt>
                <c:pt idx="7">
                  <c:v>13457508504.139999</c:v>
                </c:pt>
                <c:pt idx="8">
                  <c:v>19614990621.270401</c:v>
                </c:pt>
                <c:pt idx="9">
                  <c:v>15721528966.489901</c:v>
                </c:pt>
                <c:pt idx="10">
                  <c:v>16445716210.777</c:v>
                </c:pt>
                <c:pt idx="11">
                  <c:v>12676842797.2148</c:v>
                </c:pt>
                <c:pt idx="12">
                  <c:v>25532841965.884701</c:v>
                </c:pt>
                <c:pt idx="13">
                  <c:v>15884008968.853001</c:v>
                </c:pt>
                <c:pt idx="14">
                  <c:v>15317044256.375299</c:v>
                </c:pt>
                <c:pt idx="15">
                  <c:v>18365466706.850399</c:v>
                </c:pt>
                <c:pt idx="16">
                  <c:v>16946877413.0525</c:v>
                </c:pt>
                <c:pt idx="17">
                  <c:v>16199813974.108999</c:v>
                </c:pt>
                <c:pt idx="18">
                  <c:v>18588867811.630699</c:v>
                </c:pt>
                <c:pt idx="19">
                  <c:v>17600833534.615799</c:v>
                </c:pt>
                <c:pt idx="20">
                  <c:v>18452761226.172298</c:v>
                </c:pt>
                <c:pt idx="21">
                  <c:v>16237743326.3507</c:v>
                </c:pt>
                <c:pt idx="22">
                  <c:v>16972727075.118601</c:v>
                </c:pt>
                <c:pt idx="23">
                  <c:v>19695573707.699699</c:v>
                </c:pt>
                <c:pt idx="24">
                  <c:v>15843741460.191401</c:v>
                </c:pt>
                <c:pt idx="25">
                  <c:v>14711925222.012899</c:v>
                </c:pt>
                <c:pt idx="26">
                  <c:v>18291095906.765598</c:v>
                </c:pt>
                <c:pt idx="27">
                  <c:v>17770518203.7015</c:v>
                </c:pt>
                <c:pt idx="28">
                  <c:v>18893532205.6478</c:v>
                </c:pt>
                <c:pt idx="29">
                  <c:v>13712165716.021799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61-4DEF-9BB8-70AF97C63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330360"/>
        <c:axId val="510326096"/>
      </c:barChart>
      <c:catAx>
        <c:axId val="510330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/>
                  <a:t>Trial</a:t>
                </a:r>
              </a:p>
            </c:rich>
          </c:tx>
          <c:layout>
            <c:manualLayout>
              <c:xMode val="edge"/>
              <c:yMode val="edge"/>
              <c:x val="0.46163291230037284"/>
              <c:y val="0.93347438628994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26096"/>
        <c:crosses val="autoZero"/>
        <c:auto val="1"/>
        <c:lblAlgn val="ctr"/>
        <c:lblOffset val="100"/>
        <c:noMultiLvlLbl val="0"/>
      </c:catAx>
      <c:valAx>
        <c:axId val="51032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NPV(in millions)</a:t>
                </a:r>
              </a:p>
            </c:rich>
          </c:tx>
          <c:layout>
            <c:manualLayout>
              <c:xMode val="edge"/>
              <c:yMode val="edge"/>
              <c:x val="3.97351039422345E-2"/>
              <c:y val="0.333822201636560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30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- Battery</a:t>
            </a:r>
            <a:r>
              <a:rPr lang="en-US" baseline="0"/>
              <a:t> Capacity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'Battery Capacity'!$E$4:$E$33</c:f>
              <c:numCache>
                <c:formatCode>#,##0,,;\-#,##0,,</c:formatCode>
                <c:ptCount val="30"/>
                <c:pt idx="0">
                  <c:v>3256451328.1870999</c:v>
                </c:pt>
                <c:pt idx="1">
                  <c:v>3255011403.4029002</c:v>
                </c:pt>
                <c:pt idx="2">
                  <c:v>3258838676.086</c:v>
                </c:pt>
                <c:pt idx="3">
                  <c:v>3255911799.5935001</c:v>
                </c:pt>
                <c:pt idx="4">
                  <c:v>3255657153.6433001</c:v>
                </c:pt>
                <c:pt idx="5">
                  <c:v>3256056064.5229001</c:v>
                </c:pt>
                <c:pt idx="6">
                  <c:v>3255284825.9235001</c:v>
                </c:pt>
                <c:pt idx="7">
                  <c:v>3255851920.2042999</c:v>
                </c:pt>
                <c:pt idx="8">
                  <c:v>3253620957.9120998</c:v>
                </c:pt>
                <c:pt idx="9">
                  <c:v>3254494316.973</c:v>
                </c:pt>
                <c:pt idx="10">
                  <c:v>3254917984.3288999</c:v>
                </c:pt>
                <c:pt idx="11">
                  <c:v>3254689718.4334998</c:v>
                </c:pt>
                <c:pt idx="12">
                  <c:v>3255664313.9383001</c:v>
                </c:pt>
                <c:pt idx="13">
                  <c:v>3251266860.2775998</c:v>
                </c:pt>
                <c:pt idx="14">
                  <c:v>3259073246.0386</c:v>
                </c:pt>
                <c:pt idx="15">
                  <c:v>3256048569.3930001</c:v>
                </c:pt>
                <c:pt idx="16">
                  <c:v>3253503042.4598999</c:v>
                </c:pt>
                <c:pt idx="17">
                  <c:v>3256002491.0934</c:v>
                </c:pt>
                <c:pt idx="18">
                  <c:v>3256110319.8597002</c:v>
                </c:pt>
                <c:pt idx="19">
                  <c:v>3252068873.2131</c:v>
                </c:pt>
                <c:pt idx="20">
                  <c:v>3257854072.5152998</c:v>
                </c:pt>
                <c:pt idx="21">
                  <c:v>3256491301.8028998</c:v>
                </c:pt>
                <c:pt idx="22">
                  <c:v>3256108458.6402001</c:v>
                </c:pt>
                <c:pt idx="23">
                  <c:v>3254968260.4714999</c:v>
                </c:pt>
                <c:pt idx="24">
                  <c:v>3253253720.2140999</c:v>
                </c:pt>
                <c:pt idx="25">
                  <c:v>3255485909.8945999</c:v>
                </c:pt>
                <c:pt idx="26">
                  <c:v>3255918308.2750001</c:v>
                </c:pt>
                <c:pt idx="27">
                  <c:v>3253040481.8724999</c:v>
                </c:pt>
                <c:pt idx="28">
                  <c:v>3249557821.5706</c:v>
                </c:pt>
                <c:pt idx="29">
                  <c:v>3257070769.4317999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F-4D9A-AACA-5E12AFF4B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5880680"/>
        <c:axId val="625878384"/>
      </c:barChart>
      <c:catAx>
        <c:axId val="62588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878384"/>
        <c:crosses val="autoZero"/>
        <c:auto val="1"/>
        <c:lblAlgn val="ctr"/>
        <c:lblOffset val="100"/>
        <c:noMultiLvlLbl val="0"/>
      </c:catAx>
      <c:valAx>
        <c:axId val="6258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NPV(in</a:t>
                </a:r>
                <a:r>
                  <a:rPr lang="en-US" baseline="0"/>
                  <a:t> millions)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88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  <a:r>
              <a:rPr lang="en-US" baseline="0"/>
              <a:t> - Just in Time Manufacturing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JIT!$D$3:$D$32</c:f>
              <c:numCache>
                <c:formatCode>#,##0,,;\-#,##0,,</c:formatCode>
                <c:ptCount val="30"/>
                <c:pt idx="0">
                  <c:v>2088336529.0234001</c:v>
                </c:pt>
                <c:pt idx="1">
                  <c:v>2090424778.7068</c:v>
                </c:pt>
                <c:pt idx="2">
                  <c:v>2091790509.2841001</c:v>
                </c:pt>
                <c:pt idx="3">
                  <c:v>2086811793.5857</c:v>
                </c:pt>
                <c:pt idx="4">
                  <c:v>2088255478.9768</c:v>
                </c:pt>
                <c:pt idx="5">
                  <c:v>2095593072.6584001</c:v>
                </c:pt>
                <c:pt idx="6">
                  <c:v>2090598361.3045001</c:v>
                </c:pt>
                <c:pt idx="7">
                  <c:v>2094793202.4591</c:v>
                </c:pt>
                <c:pt idx="8">
                  <c:v>2090784700.4200001</c:v>
                </c:pt>
                <c:pt idx="9">
                  <c:v>2093200881.4814999</c:v>
                </c:pt>
                <c:pt idx="10">
                  <c:v>2094396501.6491001</c:v>
                </c:pt>
                <c:pt idx="11">
                  <c:v>2090190040.3455</c:v>
                </c:pt>
                <c:pt idx="12">
                  <c:v>2089182843.3436</c:v>
                </c:pt>
                <c:pt idx="13">
                  <c:v>2091446007.3008001</c:v>
                </c:pt>
                <c:pt idx="14">
                  <c:v>2091772583.0643001</c:v>
                </c:pt>
                <c:pt idx="15">
                  <c:v>2087160430.9414001</c:v>
                </c:pt>
                <c:pt idx="16">
                  <c:v>2088367802.2915001</c:v>
                </c:pt>
                <c:pt idx="17">
                  <c:v>2089421834.6658001</c:v>
                </c:pt>
                <c:pt idx="18">
                  <c:v>2091272417.8594999</c:v>
                </c:pt>
                <c:pt idx="19">
                  <c:v>2091184663.8278</c:v>
                </c:pt>
                <c:pt idx="20">
                  <c:v>2092983053.3715999</c:v>
                </c:pt>
                <c:pt idx="21">
                  <c:v>2089554964.2282</c:v>
                </c:pt>
                <c:pt idx="22">
                  <c:v>2089410499.5448</c:v>
                </c:pt>
                <c:pt idx="23">
                  <c:v>2087624953.6136999</c:v>
                </c:pt>
                <c:pt idx="24">
                  <c:v>2084043695.8111</c:v>
                </c:pt>
                <c:pt idx="25">
                  <c:v>2095156995.7737999</c:v>
                </c:pt>
                <c:pt idx="26">
                  <c:v>2097692358.0811</c:v>
                </c:pt>
                <c:pt idx="27">
                  <c:v>2092926579.9545</c:v>
                </c:pt>
                <c:pt idx="28">
                  <c:v>2093226514.1257999</c:v>
                </c:pt>
                <c:pt idx="29">
                  <c:v>2090898500.1407001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A-42FD-B043-CB1CE2D3A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604664"/>
        <c:axId val="562602040"/>
      </c:barChart>
      <c:catAx>
        <c:axId val="562604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02040"/>
        <c:crosses val="autoZero"/>
        <c:auto val="1"/>
        <c:lblAlgn val="ctr"/>
        <c:lblOffset val="100"/>
        <c:noMultiLvlLbl val="0"/>
      </c:catAx>
      <c:valAx>
        <c:axId val="56260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 (in 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60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  <a:r>
              <a:rPr lang="en-US" baseline="0"/>
              <a:t> - Warranty Cost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'Warranty Cost'!$E$4:$E$33</c:f>
              <c:numCache>
                <c:formatCode>#,##0,,;\-#,##0,,</c:formatCode>
                <c:ptCount val="30"/>
                <c:pt idx="0">
                  <c:v>141915052.9034</c:v>
                </c:pt>
                <c:pt idx="1">
                  <c:v>245700327.7563</c:v>
                </c:pt>
                <c:pt idx="2">
                  <c:v>318718796.49599999</c:v>
                </c:pt>
                <c:pt idx="3">
                  <c:v>242618302.57089999</c:v>
                </c:pt>
                <c:pt idx="4">
                  <c:v>240097148.00389999</c:v>
                </c:pt>
                <c:pt idx="5">
                  <c:v>193156450.5214</c:v>
                </c:pt>
                <c:pt idx="6">
                  <c:v>257087324.4296</c:v>
                </c:pt>
                <c:pt idx="7">
                  <c:v>228072339.04570001</c:v>
                </c:pt>
                <c:pt idx="8">
                  <c:v>81547931.609300002</c:v>
                </c:pt>
                <c:pt idx="9">
                  <c:v>235203515.06240001</c:v>
                </c:pt>
                <c:pt idx="10">
                  <c:v>191647531.5539</c:v>
                </c:pt>
                <c:pt idx="11">
                  <c:v>124570533.4751</c:v>
                </c:pt>
                <c:pt idx="12">
                  <c:v>152085476.99579999</c:v>
                </c:pt>
                <c:pt idx="13">
                  <c:v>258341655.52079999</c:v>
                </c:pt>
                <c:pt idx="14">
                  <c:v>201041100.8786</c:v>
                </c:pt>
                <c:pt idx="15">
                  <c:v>246318799.00229999</c:v>
                </c:pt>
                <c:pt idx="16">
                  <c:v>236455130.83050001</c:v>
                </c:pt>
                <c:pt idx="17">
                  <c:v>162024336.7667</c:v>
                </c:pt>
                <c:pt idx="18">
                  <c:v>192476815.80149999</c:v>
                </c:pt>
                <c:pt idx="19">
                  <c:v>219833950.51109999</c:v>
                </c:pt>
                <c:pt idx="20">
                  <c:v>215562344.14770001</c:v>
                </c:pt>
                <c:pt idx="21">
                  <c:v>240956576.1392</c:v>
                </c:pt>
                <c:pt idx="22">
                  <c:v>225356314.9039</c:v>
                </c:pt>
                <c:pt idx="23">
                  <c:v>232826818.419</c:v>
                </c:pt>
                <c:pt idx="24">
                  <c:v>300390013.13029999</c:v>
                </c:pt>
                <c:pt idx="25">
                  <c:v>153167399.7588</c:v>
                </c:pt>
                <c:pt idx="26">
                  <c:v>400351433.14929998</c:v>
                </c:pt>
                <c:pt idx="27">
                  <c:v>230231960.22580001</c:v>
                </c:pt>
                <c:pt idx="28">
                  <c:v>208174771.2414</c:v>
                </c:pt>
                <c:pt idx="29">
                  <c:v>128371913.45730001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7C-42E6-9816-54448565A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168768"/>
        <c:axId val="561164176"/>
      </c:barChart>
      <c:catAx>
        <c:axId val="561168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164176"/>
        <c:crosses val="autoZero"/>
        <c:auto val="1"/>
        <c:lblAlgn val="ctr"/>
        <c:lblOffset val="100"/>
        <c:noMultiLvlLbl val="0"/>
      </c:catAx>
      <c:valAx>
        <c:axId val="5611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  <a:r>
                  <a:rPr lang="en-US" baseline="0"/>
                  <a:t> (in millions)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16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</a:t>
            </a:r>
            <a:r>
              <a:rPr lang="en-US" baseline="0"/>
              <a:t> - OCA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OCA!$E$4:$E$33</c:f>
              <c:numCache>
                <c:formatCode>#,##0,,;\-#,##0,,</c:formatCode>
                <c:ptCount val="30"/>
                <c:pt idx="0">
                  <c:v>260689437.34349999</c:v>
                </c:pt>
                <c:pt idx="1">
                  <c:v>261265748.94010001</c:v>
                </c:pt>
                <c:pt idx="2">
                  <c:v>258380939.31209999</c:v>
                </c:pt>
                <c:pt idx="3">
                  <c:v>259308259.6832</c:v>
                </c:pt>
                <c:pt idx="4">
                  <c:v>259419893.87959999</c:v>
                </c:pt>
                <c:pt idx="5">
                  <c:v>260950056.53380001</c:v>
                </c:pt>
                <c:pt idx="6">
                  <c:v>262230219.42930001</c:v>
                </c:pt>
                <c:pt idx="7">
                  <c:v>260293334.00760001</c:v>
                </c:pt>
                <c:pt idx="8">
                  <c:v>259123822.162</c:v>
                </c:pt>
                <c:pt idx="9">
                  <c:v>259368589.87270001</c:v>
                </c:pt>
                <c:pt idx="10">
                  <c:v>261998945.01890001</c:v>
                </c:pt>
                <c:pt idx="11">
                  <c:v>259202528.266</c:v>
                </c:pt>
                <c:pt idx="12">
                  <c:v>263074373.7265</c:v>
                </c:pt>
                <c:pt idx="13">
                  <c:v>260526228.546</c:v>
                </c:pt>
                <c:pt idx="14">
                  <c:v>262099368.31779999</c:v>
                </c:pt>
                <c:pt idx="15">
                  <c:v>259725088.986</c:v>
                </c:pt>
                <c:pt idx="16">
                  <c:v>261222355.63499999</c:v>
                </c:pt>
                <c:pt idx="17">
                  <c:v>259881917.96529999</c:v>
                </c:pt>
                <c:pt idx="18">
                  <c:v>259005929.0706</c:v>
                </c:pt>
                <c:pt idx="19">
                  <c:v>259736009.2581</c:v>
                </c:pt>
                <c:pt idx="20">
                  <c:v>261135957.08539999</c:v>
                </c:pt>
                <c:pt idx="21">
                  <c:v>260415990.18169999</c:v>
                </c:pt>
                <c:pt idx="22">
                  <c:v>262497219.01539999</c:v>
                </c:pt>
                <c:pt idx="23">
                  <c:v>261842325.73649999</c:v>
                </c:pt>
                <c:pt idx="24">
                  <c:v>256664345.68599999</c:v>
                </c:pt>
                <c:pt idx="25">
                  <c:v>259544423.91190001</c:v>
                </c:pt>
                <c:pt idx="26">
                  <c:v>259532868.42410001</c:v>
                </c:pt>
                <c:pt idx="27">
                  <c:v>258379539.96970001</c:v>
                </c:pt>
                <c:pt idx="28">
                  <c:v>259675722.398</c:v>
                </c:pt>
                <c:pt idx="29">
                  <c:v>259066313.70570001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55-4DDE-955D-C3DFA7675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5559840"/>
        <c:axId val="505559184"/>
      </c:barChart>
      <c:catAx>
        <c:axId val="505559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Trials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59184"/>
        <c:crosses val="autoZero"/>
        <c:auto val="1"/>
        <c:lblAlgn val="ctr"/>
        <c:lblOffset val="100"/>
        <c:noMultiLvlLbl val="0"/>
      </c:catAx>
      <c:valAx>
        <c:axId val="50555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  <a:r>
                  <a:rPr lang="en-US" baseline="0"/>
                  <a:t>(in millions)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,,;\-#,##0,,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5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1242060</xdr:colOff>
          <xdr:row>37</xdr:row>
          <xdr:rowOff>76200</xdr:rowOff>
        </xdr:from>
        <xdr:to>
          <xdr:col>3</xdr:col>
          <xdr:colOff>914400</xdr:colOff>
          <xdr:row>43</xdr:row>
          <xdr:rowOff>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1051560</xdr:colOff>
      <xdr:row>38</xdr:row>
      <xdr:rowOff>95250</xdr:rowOff>
    </xdr:from>
    <xdr:to>
      <xdr:col>9</xdr:col>
      <xdr:colOff>807720</xdr:colOff>
      <xdr:row>58</xdr:row>
      <xdr:rowOff>160020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4BB4ED-9ECF-4450-A6AE-36E8B98B5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518160</xdr:colOff>
          <xdr:row>34</xdr:row>
          <xdr:rowOff>60960</xdr:rowOff>
        </xdr:from>
        <xdr:to>
          <xdr:col>1</xdr:col>
          <xdr:colOff>2727960</xdr:colOff>
          <xdr:row>40</xdr:row>
          <xdr:rowOff>7620</xdr:rowOff>
        </xdr:to>
        <xdr:sp macro="" textlink="">
          <xdr:nvSpPr>
            <xdr:cNvPr id="6145" name="Calculato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276225</xdr:colOff>
      <xdr:row>37</xdr:row>
      <xdr:rowOff>200024</xdr:rowOff>
    </xdr:from>
    <xdr:to>
      <xdr:col>11</xdr:col>
      <xdr:colOff>2533649</xdr:colOff>
      <xdr:row>58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518160</xdr:colOff>
          <xdr:row>37</xdr:row>
          <xdr:rowOff>76200</xdr:rowOff>
        </xdr:from>
        <xdr:to>
          <xdr:col>3</xdr:col>
          <xdr:colOff>365760</xdr:colOff>
          <xdr:row>43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161925</xdr:colOff>
      <xdr:row>39</xdr:row>
      <xdr:rowOff>133349</xdr:rowOff>
    </xdr:from>
    <xdr:to>
      <xdr:col>9</xdr:col>
      <xdr:colOff>2181225</xdr:colOff>
      <xdr:row>59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822960</xdr:colOff>
          <xdr:row>33</xdr:row>
          <xdr:rowOff>60960</xdr:rowOff>
        </xdr:from>
        <xdr:to>
          <xdr:col>1</xdr:col>
          <xdr:colOff>266700</xdr:colOff>
          <xdr:row>38</xdr:row>
          <xdr:rowOff>182880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1000124</xdr:colOff>
      <xdr:row>40</xdr:row>
      <xdr:rowOff>142875</xdr:rowOff>
    </xdr:from>
    <xdr:to>
      <xdr:col>9</xdr:col>
      <xdr:colOff>514349</xdr:colOff>
      <xdr:row>60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34</xdr:row>
          <xdr:rowOff>106680</xdr:rowOff>
        </xdr:from>
        <xdr:to>
          <xdr:col>1</xdr:col>
          <xdr:colOff>2346960</xdr:colOff>
          <xdr:row>40</xdr:row>
          <xdr:rowOff>91440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1990725</xdr:colOff>
      <xdr:row>35</xdr:row>
      <xdr:rowOff>19049</xdr:rowOff>
    </xdr:from>
    <xdr:to>
      <xdr:col>5</xdr:col>
      <xdr:colOff>466725</xdr:colOff>
      <xdr:row>51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34</xdr:row>
          <xdr:rowOff>190500</xdr:rowOff>
        </xdr:from>
        <xdr:to>
          <xdr:col>1</xdr:col>
          <xdr:colOff>2781300</xdr:colOff>
          <xdr:row>40</xdr:row>
          <xdr:rowOff>114300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266699</xdr:colOff>
      <xdr:row>39</xdr:row>
      <xdr:rowOff>9524</xdr:rowOff>
    </xdr:from>
    <xdr:to>
      <xdr:col>10</xdr:col>
      <xdr:colOff>647700</xdr:colOff>
      <xdr:row>59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 summaryRight="0"/>
  </sheetPr>
  <dimension ref="A1:B8"/>
  <sheetViews>
    <sheetView workbookViewId="0">
      <selection activeCell="A20" sqref="A20"/>
    </sheetView>
  </sheetViews>
  <sheetFormatPr defaultColWidth="14.44140625" defaultRowHeight="15.75" customHeight="1"/>
  <cols>
    <col min="1" max="1" width="144" customWidth="1"/>
  </cols>
  <sheetData>
    <row r="1" spans="1:2" ht="15.6">
      <c r="A1" s="3"/>
      <c r="B1" s="5" t="s">
        <v>9</v>
      </c>
    </row>
    <row r="2" spans="1:2" ht="15.6">
      <c r="A2" s="3" t="s">
        <v>12</v>
      </c>
      <c r="B2" s="9"/>
    </row>
    <row r="3" spans="1:2" ht="15.6">
      <c r="A3" s="3" t="s">
        <v>13</v>
      </c>
      <c r="B3" s="9"/>
    </row>
    <row r="4" spans="1:2" ht="15.6">
      <c r="A4" s="3" t="s">
        <v>14</v>
      </c>
      <c r="B4" s="9"/>
    </row>
    <row r="5" spans="1:2" ht="15.75" customHeight="1">
      <c r="A5" s="14" t="s">
        <v>15</v>
      </c>
      <c r="B5" s="16"/>
    </row>
    <row r="6" spans="1:2" ht="15.6">
      <c r="A6" s="3" t="s">
        <v>18</v>
      </c>
      <c r="B6" s="17"/>
    </row>
    <row r="7" spans="1:2" ht="15.75" customHeight="1">
      <c r="A7" s="20" t="s">
        <v>19</v>
      </c>
      <c r="B7" s="5" t="s">
        <v>20</v>
      </c>
    </row>
    <row r="8" spans="1:2" ht="15.6">
      <c r="A8" s="3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outlinePr summaryBelow="0" summaryRight="0"/>
  </sheetPr>
  <dimension ref="A1:P67"/>
  <sheetViews>
    <sheetView tabSelected="1" topLeftCell="A3" zoomScale="76" workbookViewId="0">
      <selection activeCell="C3" sqref="C3"/>
    </sheetView>
  </sheetViews>
  <sheetFormatPr defaultColWidth="14.44140625" defaultRowHeight="15.75" customHeight="1"/>
  <cols>
    <col min="1" max="1" width="14.44140625" style="53"/>
    <col min="2" max="2" width="18.88671875" style="53" customWidth="1"/>
    <col min="3" max="5" width="18.109375" style="53" customWidth="1"/>
    <col min="6" max="6" width="18.44140625" style="53" bestFit="1" customWidth="1"/>
    <col min="7" max="7" width="22.109375" style="53" bestFit="1" customWidth="1"/>
    <col min="8" max="8" width="20.88671875" style="53" customWidth="1"/>
    <col min="9" max="9" width="19.109375" style="53" bestFit="1" customWidth="1"/>
    <col min="10" max="10" width="20" style="53" customWidth="1"/>
    <col min="11" max="11" width="20.5546875" style="53" customWidth="1"/>
    <col min="12" max="12" width="18.88671875" style="53" customWidth="1"/>
    <col min="13" max="13" width="45.44140625" style="53" customWidth="1"/>
    <col min="14" max="15" width="14.44140625" style="53"/>
    <col min="16" max="16" width="18.109375" style="53" bestFit="1" customWidth="1"/>
    <col min="17" max="16384" width="14.44140625" style="53"/>
  </cols>
  <sheetData>
    <row r="1" spans="1:15" ht="15.6">
      <c r="A1" s="33"/>
      <c r="B1" s="33"/>
      <c r="C1" s="33"/>
      <c r="D1" s="33"/>
      <c r="E1" s="33"/>
      <c r="F1" s="33"/>
      <c r="G1" s="33"/>
      <c r="H1" s="33"/>
      <c r="I1" s="69"/>
      <c r="J1" s="33"/>
      <c r="K1" s="33"/>
      <c r="L1" s="69"/>
      <c r="M1" s="69"/>
      <c r="N1" s="69"/>
      <c r="O1" s="69"/>
    </row>
    <row r="2" spans="1:15" ht="16.2" thickBot="1">
      <c r="A2" s="33" t="s">
        <v>1</v>
      </c>
      <c r="B2" s="33" t="s">
        <v>71</v>
      </c>
      <c r="C2" s="33" t="s">
        <v>33</v>
      </c>
      <c r="D2" s="33" t="s">
        <v>34</v>
      </c>
      <c r="E2" s="33" t="s">
        <v>81</v>
      </c>
      <c r="F2" s="33" t="s">
        <v>3</v>
      </c>
      <c r="G2" s="33" t="s">
        <v>4</v>
      </c>
      <c r="H2" s="33" t="s">
        <v>90</v>
      </c>
      <c r="I2" s="33" t="s">
        <v>91</v>
      </c>
      <c r="J2" s="33" t="s">
        <v>6</v>
      </c>
      <c r="K2" s="33" t="s">
        <v>7</v>
      </c>
      <c r="L2" s="5" t="s">
        <v>8</v>
      </c>
      <c r="M2" s="5" t="s">
        <v>11</v>
      </c>
      <c r="N2" s="69"/>
      <c r="O2" s="69"/>
    </row>
    <row r="3" spans="1:15" ht="16.2" thickBot="1">
      <c r="A3" s="33">
        <v>0</v>
      </c>
      <c r="B3" s="156">
        <v>1109394.95</v>
      </c>
      <c r="C3" s="33"/>
      <c r="D3" s="33"/>
      <c r="E3" s="33"/>
      <c r="F3" s="33"/>
      <c r="G3" s="33"/>
      <c r="H3" s="33"/>
      <c r="I3" s="33"/>
      <c r="J3" s="18">
        <f t="shared" ref="J3:J33" si="0">F3-B3</f>
        <v>-1109394.95</v>
      </c>
      <c r="K3" s="18">
        <f>SUM(J$3:J3)</f>
        <v>-1109394.95</v>
      </c>
      <c r="L3" s="10">
        <f t="shared" ref="L3:L16" si="1">SUM(G$3:G3)</f>
        <v>0</v>
      </c>
      <c r="M3" s="5" t="s">
        <v>16</v>
      </c>
      <c r="N3" s="12">
        <v>0.03</v>
      </c>
      <c r="O3" s="69"/>
    </row>
    <row r="4" spans="1:15" ht="16.2" thickBot="1">
      <c r="A4" s="33">
        <v>1</v>
      </c>
      <c r="B4" s="157">
        <v>5795327.909</v>
      </c>
      <c r="C4" s="155">
        <v>1441997.0719999999</v>
      </c>
      <c r="D4" s="146">
        <v>4848304.7350000003</v>
      </c>
      <c r="E4" s="150">
        <v>354781632.02890003</v>
      </c>
      <c r="F4" s="18">
        <f t="shared" ref="F4:F33" si="2">G4*H4</f>
        <v>10800000</v>
      </c>
      <c r="G4" s="33">
        <v>216000000</v>
      </c>
      <c r="H4" s="5">
        <f t="shared" ref="H4:H33" si="3">I4*0.01</f>
        <v>0.05</v>
      </c>
      <c r="I4" s="33">
        <v>5</v>
      </c>
      <c r="J4" s="18">
        <f t="shared" si="0"/>
        <v>5004672.091</v>
      </c>
      <c r="K4" s="18">
        <f t="shared" ref="K4:K33" si="4">SUM($J$3:J4)</f>
        <v>3895277.1409999998</v>
      </c>
      <c r="L4" s="10">
        <f t="shared" si="1"/>
        <v>216000000</v>
      </c>
      <c r="M4" s="5" t="s">
        <v>17</v>
      </c>
      <c r="N4" s="12">
        <v>0.05</v>
      </c>
      <c r="O4" s="69"/>
    </row>
    <row r="5" spans="1:15" ht="15.6">
      <c r="A5" s="33">
        <v>2</v>
      </c>
      <c r="B5" s="33"/>
      <c r="C5" s="147">
        <v>1303434.733</v>
      </c>
      <c r="D5" s="145">
        <v>4602997.0250000004</v>
      </c>
      <c r="E5" s="151">
        <v>355148600.05690002</v>
      </c>
      <c r="F5" s="18">
        <f t="shared" si="2"/>
        <v>12632136.300000001</v>
      </c>
      <c r="G5" s="33">
        <f t="shared" ref="G5:G33" si="5">$G$4*(1+$N$4)^A5</f>
        <v>238140000</v>
      </c>
      <c r="H5" s="5">
        <f t="shared" si="3"/>
        <v>5.3045000000000002E-2</v>
      </c>
      <c r="I5" s="33">
        <f t="shared" ref="I5:I33" si="6">$I$4*(1+$N$3)^A5</f>
        <v>5.3045</v>
      </c>
      <c r="J5" s="18">
        <f t="shared" si="0"/>
        <v>12632136.300000001</v>
      </c>
      <c r="K5" s="18">
        <f t="shared" si="4"/>
        <v>16527413.441</v>
      </c>
      <c r="L5" s="10">
        <f t="shared" si="1"/>
        <v>454140000</v>
      </c>
      <c r="M5" s="5" t="s">
        <v>23</v>
      </c>
      <c r="N5" s="5">
        <v>10000</v>
      </c>
      <c r="O5" s="69"/>
    </row>
    <row r="6" spans="1:15" ht="15.6">
      <c r="A6" s="33">
        <v>3</v>
      </c>
      <c r="B6" s="33"/>
      <c r="C6" s="147">
        <v>1126038.247</v>
      </c>
      <c r="D6" s="145">
        <v>4913736.307</v>
      </c>
      <c r="E6" s="151">
        <v>355036667.60250002</v>
      </c>
      <c r="F6" s="18">
        <f t="shared" si="2"/>
        <v>13661655.408450002</v>
      </c>
      <c r="G6" s="33">
        <f t="shared" si="5"/>
        <v>250047000.00000003</v>
      </c>
      <c r="H6" s="5">
        <f t="shared" si="3"/>
        <v>5.463635E-2</v>
      </c>
      <c r="I6" s="33">
        <f t="shared" si="6"/>
        <v>5.463635</v>
      </c>
      <c r="J6" s="18">
        <f t="shared" si="0"/>
        <v>13661655.408450002</v>
      </c>
      <c r="K6" s="18">
        <f t="shared" si="4"/>
        <v>30189068.84945</v>
      </c>
      <c r="L6" s="10">
        <f t="shared" si="1"/>
        <v>704187000</v>
      </c>
      <c r="M6" s="5" t="s">
        <v>26</v>
      </c>
      <c r="N6" s="69"/>
      <c r="O6" s="69"/>
    </row>
    <row r="7" spans="1:15" ht="15.6">
      <c r="A7" s="33">
        <v>4</v>
      </c>
      <c r="B7" s="33"/>
      <c r="C7" s="147">
        <v>1204997.2890000001</v>
      </c>
      <c r="D7" s="145">
        <v>4969122.148</v>
      </c>
      <c r="E7" s="151">
        <v>354906138.8761</v>
      </c>
      <c r="F7" s="18">
        <f t="shared" si="2"/>
        <v>14775080.324238675</v>
      </c>
      <c r="G7" s="33">
        <f t="shared" si="5"/>
        <v>262549350</v>
      </c>
      <c r="H7" s="5">
        <f t="shared" si="3"/>
        <v>5.6275440499999996E-2</v>
      </c>
      <c r="I7" s="33">
        <f t="shared" si="6"/>
        <v>5.6275440499999991</v>
      </c>
      <c r="J7" s="18">
        <f t="shared" si="0"/>
        <v>14775080.324238675</v>
      </c>
      <c r="K7" s="18">
        <f t="shared" si="4"/>
        <v>44964149.173688672</v>
      </c>
      <c r="L7" s="10">
        <f t="shared" si="1"/>
        <v>966736350</v>
      </c>
      <c r="M7" s="5" t="s">
        <v>27</v>
      </c>
      <c r="N7" s="69"/>
      <c r="O7" s="69"/>
    </row>
    <row r="8" spans="1:15" ht="15.6">
      <c r="A8" s="33">
        <v>5</v>
      </c>
      <c r="B8" s="33"/>
      <c r="C8" s="147">
        <v>1410102.307</v>
      </c>
      <c r="D8" s="145">
        <v>5703309.1239999998</v>
      </c>
      <c r="E8" s="151">
        <v>354017433.32179999</v>
      </c>
      <c r="F8" s="18">
        <f t="shared" si="2"/>
        <v>15979249.370664125</v>
      </c>
      <c r="G8" s="33">
        <f t="shared" si="5"/>
        <v>275676817.5</v>
      </c>
      <c r="H8" s="5">
        <f t="shared" si="3"/>
        <v>5.7963703714999995E-2</v>
      </c>
      <c r="I8" s="33">
        <f t="shared" si="6"/>
        <v>5.7963703714999992</v>
      </c>
      <c r="J8" s="18">
        <f t="shared" si="0"/>
        <v>15979249.370664125</v>
      </c>
      <c r="K8" s="18">
        <f t="shared" si="4"/>
        <v>60943398.5443528</v>
      </c>
      <c r="L8" s="10">
        <f t="shared" si="1"/>
        <v>1242413167.5</v>
      </c>
      <c r="M8" s="5" t="s">
        <v>25</v>
      </c>
      <c r="N8" s="69"/>
      <c r="O8" s="69"/>
    </row>
    <row r="9" spans="1:15" ht="15.6">
      <c r="A9" s="33">
        <v>6</v>
      </c>
      <c r="B9" s="33"/>
      <c r="C9" s="147">
        <v>1127107.5830000001</v>
      </c>
      <c r="D9" s="145">
        <v>4946003.5520000001</v>
      </c>
      <c r="E9" s="151">
        <v>355005554.27670002</v>
      </c>
      <c r="F9" s="18">
        <f t="shared" si="2"/>
        <v>17281558.19437325</v>
      </c>
      <c r="G9" s="33">
        <f t="shared" si="5"/>
        <v>289460658.375</v>
      </c>
      <c r="H9" s="5">
        <f t="shared" si="3"/>
        <v>5.9702614826449993E-2</v>
      </c>
      <c r="I9" s="33">
        <f t="shared" si="6"/>
        <v>5.9702614826449993</v>
      </c>
      <c r="J9" s="18">
        <f t="shared" si="0"/>
        <v>17281558.19437325</v>
      </c>
      <c r="K9" s="18">
        <f t="shared" si="4"/>
        <v>78224956.73872605</v>
      </c>
      <c r="L9" s="10">
        <f t="shared" si="1"/>
        <v>1531873825.875</v>
      </c>
      <c r="M9" s="69"/>
      <c r="N9" s="69"/>
      <c r="O9" s="69"/>
    </row>
    <row r="10" spans="1:15" ht="15.6">
      <c r="A10" s="33">
        <v>7</v>
      </c>
      <c r="B10" s="33"/>
      <c r="C10" s="147">
        <v>1346654.325</v>
      </c>
      <c r="D10" s="145">
        <v>5420615.3559999997</v>
      </c>
      <c r="E10" s="151">
        <v>354344097.1027</v>
      </c>
      <c r="F10" s="18">
        <f t="shared" si="2"/>
        <v>18690005.187214676</v>
      </c>
      <c r="G10" s="33">
        <f t="shared" si="5"/>
        <v>303933691.29375005</v>
      </c>
      <c r="H10" s="5">
        <f t="shared" si="3"/>
        <v>6.1493693271243502E-2</v>
      </c>
      <c r="I10" s="33">
        <f t="shared" si="6"/>
        <v>6.1493693271243499</v>
      </c>
      <c r="J10" s="18">
        <f t="shared" si="0"/>
        <v>18690005.187214676</v>
      </c>
      <c r="K10" s="18">
        <f t="shared" si="4"/>
        <v>96914961.925940722</v>
      </c>
      <c r="L10" s="10">
        <f t="shared" si="1"/>
        <v>1835807517.16875</v>
      </c>
      <c r="M10" s="69"/>
      <c r="N10" s="69"/>
      <c r="O10" s="69"/>
    </row>
    <row r="11" spans="1:15" ht="15.6">
      <c r="A11" s="33">
        <v>8</v>
      </c>
      <c r="B11" s="33"/>
      <c r="C11" s="147">
        <v>1501994.327</v>
      </c>
      <c r="D11" s="145">
        <v>6078568.9989999998</v>
      </c>
      <c r="E11" s="151">
        <v>353576137.32139999</v>
      </c>
      <c r="F11" s="18">
        <f t="shared" si="2"/>
        <v>20213240.609972671</v>
      </c>
      <c r="G11" s="33">
        <f t="shared" si="5"/>
        <v>319130375.85843754</v>
      </c>
      <c r="H11" s="5">
        <f t="shared" si="3"/>
        <v>6.3338504069380797E-2</v>
      </c>
      <c r="I11" s="33">
        <f t="shared" si="6"/>
        <v>6.3338504069380797</v>
      </c>
      <c r="J11" s="18">
        <f t="shared" si="0"/>
        <v>20213240.609972671</v>
      </c>
      <c r="K11" s="18">
        <f t="shared" si="4"/>
        <v>117128202.53591339</v>
      </c>
      <c r="L11" s="10">
        <f t="shared" si="1"/>
        <v>2154937893.0271873</v>
      </c>
      <c r="M11" s="69"/>
      <c r="N11" s="69"/>
      <c r="O11" s="69"/>
    </row>
    <row r="12" spans="1:15" ht="15.6">
      <c r="A12" s="33">
        <v>9</v>
      </c>
      <c r="B12" s="33"/>
      <c r="C12" s="147">
        <v>1321069.686</v>
      </c>
      <c r="D12" s="145">
        <v>6680952.1950000003</v>
      </c>
      <c r="E12" s="151">
        <v>353196183.75379997</v>
      </c>
      <c r="F12" s="18">
        <f t="shared" si="2"/>
        <v>21860619.719685443</v>
      </c>
      <c r="G12" s="33">
        <f t="shared" si="5"/>
        <v>335086894.65135938</v>
      </c>
      <c r="H12" s="5">
        <f t="shared" si="3"/>
        <v>6.5238659191462225E-2</v>
      </c>
      <c r="I12" s="33">
        <f t="shared" si="6"/>
        <v>6.523865919146222</v>
      </c>
      <c r="J12" s="18">
        <f t="shared" si="0"/>
        <v>21860619.719685443</v>
      </c>
      <c r="K12" s="18">
        <f t="shared" si="4"/>
        <v>138988822.25559884</v>
      </c>
      <c r="L12" s="10">
        <f t="shared" si="1"/>
        <v>2490024787.6785469</v>
      </c>
      <c r="M12" s="69"/>
      <c r="N12" s="69"/>
      <c r="O12" s="69"/>
    </row>
    <row r="13" spans="1:15" ht="15.6">
      <c r="A13" s="33">
        <v>10</v>
      </c>
      <c r="B13" s="33"/>
      <c r="C13" s="147">
        <v>1232174.673</v>
      </c>
      <c r="D13" s="145">
        <v>6011198.7929999996</v>
      </c>
      <c r="E13" s="151">
        <v>353908685.2863</v>
      </c>
      <c r="F13" s="18">
        <f t="shared" si="2"/>
        <v>23642260.226839807</v>
      </c>
      <c r="G13" s="33">
        <f t="shared" si="5"/>
        <v>351841239.3839274</v>
      </c>
      <c r="H13" s="5">
        <f t="shared" si="3"/>
        <v>6.7195818967206083E-2</v>
      </c>
      <c r="I13" s="33">
        <f t="shared" si="6"/>
        <v>6.7195818967206087</v>
      </c>
      <c r="J13" s="18">
        <f t="shared" si="0"/>
        <v>23642260.226839807</v>
      </c>
      <c r="K13" s="18">
        <f t="shared" si="4"/>
        <v>162631082.48243865</v>
      </c>
      <c r="L13" s="10">
        <f t="shared" si="1"/>
        <v>2841866027.0624743</v>
      </c>
      <c r="M13" s="69"/>
      <c r="N13" s="69"/>
      <c r="O13" s="69"/>
    </row>
    <row r="14" spans="1:15" ht="15.6">
      <c r="A14" s="33">
        <v>11</v>
      </c>
      <c r="B14" s="33"/>
      <c r="C14" s="147">
        <v>1334694.5719999999</v>
      </c>
      <c r="D14" s="145">
        <v>5309627.9800000004</v>
      </c>
      <c r="E14" s="151">
        <v>354459397.05680001</v>
      </c>
      <c r="F14" s="18">
        <f t="shared" si="2"/>
        <v>25569104.435327254</v>
      </c>
      <c r="G14" s="33">
        <f t="shared" si="5"/>
        <v>369433301.35312378</v>
      </c>
      <c r="H14" s="5">
        <f t="shared" si="3"/>
        <v>6.921169353622228E-2</v>
      </c>
      <c r="I14" s="33">
        <f t="shared" si="6"/>
        <v>6.9211693536222274</v>
      </c>
      <c r="J14" s="18">
        <f t="shared" si="0"/>
        <v>25569104.435327254</v>
      </c>
      <c r="K14" s="18">
        <f t="shared" si="4"/>
        <v>188200186.91776592</v>
      </c>
      <c r="L14" s="10">
        <f t="shared" si="1"/>
        <v>3211299328.4155979</v>
      </c>
      <c r="M14" s="69"/>
      <c r="N14" s="69"/>
      <c r="O14" s="69"/>
    </row>
    <row r="15" spans="1:15" ht="15.6">
      <c r="A15" s="33">
        <v>12</v>
      </c>
      <c r="B15" s="33"/>
      <c r="C15" s="147">
        <v>1483158.977</v>
      </c>
      <c r="D15" s="145">
        <v>5254996.5690000001</v>
      </c>
      <c r="E15" s="151">
        <v>354361799.88739997</v>
      </c>
      <c r="F15" s="18">
        <f t="shared" si="2"/>
        <v>27652986.446806416</v>
      </c>
      <c r="G15" s="33">
        <f t="shared" si="5"/>
        <v>387904966.42077988</v>
      </c>
      <c r="H15" s="5">
        <f t="shared" si="3"/>
        <v>7.128804434230894E-2</v>
      </c>
      <c r="I15" s="33">
        <f t="shared" si="6"/>
        <v>7.1288044342308936</v>
      </c>
      <c r="J15" s="18">
        <f t="shared" si="0"/>
        <v>27652986.446806416</v>
      </c>
      <c r="K15" s="18">
        <f t="shared" si="4"/>
        <v>215853173.36457235</v>
      </c>
      <c r="L15" s="10">
        <f t="shared" si="1"/>
        <v>3599204294.8363776</v>
      </c>
      <c r="M15" s="69"/>
      <c r="N15" s="69"/>
      <c r="O15" s="69"/>
    </row>
    <row r="16" spans="1:15" ht="15.6">
      <c r="A16" s="33">
        <v>13</v>
      </c>
      <c r="B16" s="33"/>
      <c r="C16" s="147">
        <v>1106563.9169999999</v>
      </c>
      <c r="D16" s="145">
        <v>5172838.5240000002</v>
      </c>
      <c r="E16" s="151">
        <v>354814892.19599998</v>
      </c>
      <c r="F16" s="18">
        <f t="shared" si="2"/>
        <v>29906704.842221141</v>
      </c>
      <c r="G16" s="33">
        <f t="shared" si="5"/>
        <v>407300214.74181896</v>
      </c>
      <c r="H16" s="5">
        <f t="shared" si="3"/>
        <v>7.3426685672578193E-2</v>
      </c>
      <c r="I16" s="33">
        <f t="shared" si="6"/>
        <v>7.3426685672578191</v>
      </c>
      <c r="J16" s="18">
        <f t="shared" si="0"/>
        <v>29906704.842221141</v>
      </c>
      <c r="K16" s="18">
        <f t="shared" si="4"/>
        <v>245759878.20679349</v>
      </c>
      <c r="L16" s="10">
        <f t="shared" si="1"/>
        <v>4006504509.5781965</v>
      </c>
      <c r="M16" s="69"/>
      <c r="N16" s="69"/>
      <c r="O16" s="69"/>
    </row>
    <row r="17" spans="1:15" ht="15.6">
      <c r="A17" s="33">
        <v>14</v>
      </c>
      <c r="B17" s="33"/>
      <c r="C17" s="147">
        <v>1418096.986</v>
      </c>
      <c r="D17" s="145">
        <v>5179996.4390000002</v>
      </c>
      <c r="E17" s="151">
        <v>354496694.4016</v>
      </c>
      <c r="F17" s="18">
        <f t="shared" si="2"/>
        <v>32344101.286862161</v>
      </c>
      <c r="G17" s="33">
        <f t="shared" si="5"/>
        <v>427665225.47890985</v>
      </c>
      <c r="H17" s="5">
        <f t="shared" si="3"/>
        <v>7.5629486242755548E-2</v>
      </c>
      <c r="I17" s="33">
        <f t="shared" si="6"/>
        <v>7.5629486242755553</v>
      </c>
      <c r="J17" s="18">
        <f t="shared" si="0"/>
        <v>32344101.286862161</v>
      </c>
      <c r="K17" s="18">
        <f t="shared" si="4"/>
        <v>278103979.49365562</v>
      </c>
      <c r="L17" s="69"/>
      <c r="M17" s="69"/>
      <c r="N17" s="69"/>
      <c r="O17" s="69"/>
    </row>
    <row r="18" spans="1:15" ht="15.6">
      <c r="A18" s="33">
        <v>15</v>
      </c>
      <c r="B18" s="33"/>
      <c r="C18" s="147">
        <v>1565333.747</v>
      </c>
      <c r="D18" s="145">
        <v>5333087.8289999999</v>
      </c>
      <c r="E18" s="151">
        <v>354206914.44700003</v>
      </c>
      <c r="F18" s="18">
        <f t="shared" si="2"/>
        <v>34980145.541741446</v>
      </c>
      <c r="G18" s="33">
        <f t="shared" si="5"/>
        <v>449048486.75285548</v>
      </c>
      <c r="H18" s="5">
        <f t="shared" si="3"/>
        <v>7.7898370830038227E-2</v>
      </c>
      <c r="I18" s="33">
        <f t="shared" si="6"/>
        <v>7.7898370830038219</v>
      </c>
      <c r="J18" s="18">
        <f t="shared" si="0"/>
        <v>34980145.541741446</v>
      </c>
      <c r="K18" s="18">
        <f t="shared" si="4"/>
        <v>313084125.03539705</v>
      </c>
      <c r="L18" s="69"/>
      <c r="M18" s="69"/>
      <c r="N18" s="69"/>
      <c r="O18" s="69"/>
    </row>
    <row r="19" spans="1:15" ht="15.6">
      <c r="A19" s="33">
        <v>16</v>
      </c>
      <c r="B19" s="33"/>
      <c r="C19" s="147">
        <v>1454239.281</v>
      </c>
      <c r="D19" s="145">
        <v>6358027.6310000001</v>
      </c>
      <c r="E19" s="151">
        <v>353363688.79939997</v>
      </c>
      <c r="F19" s="18">
        <f t="shared" si="2"/>
        <v>37831027.403393358</v>
      </c>
      <c r="G19" s="33">
        <f t="shared" si="5"/>
        <v>471500911.09049821</v>
      </c>
      <c r="H19" s="5">
        <f t="shared" si="3"/>
        <v>8.0235321954939348E-2</v>
      </c>
      <c r="I19" s="33">
        <f t="shared" si="6"/>
        <v>8.0235321954939351</v>
      </c>
      <c r="J19" s="18">
        <f t="shared" si="0"/>
        <v>37831027.403393358</v>
      </c>
      <c r="K19" s="18">
        <f t="shared" si="4"/>
        <v>350915152.43879044</v>
      </c>
      <c r="L19" s="69"/>
      <c r="M19" s="69"/>
      <c r="N19" s="69"/>
      <c r="O19" s="69"/>
    </row>
    <row r="20" spans="1:15" ht="15.6">
      <c r="A20" s="33">
        <v>17</v>
      </c>
      <c r="B20" s="33"/>
      <c r="C20" s="147">
        <v>1321656.273</v>
      </c>
      <c r="D20" s="145">
        <v>4394546.0029999996</v>
      </c>
      <c r="E20" s="151">
        <v>355324466.99169999</v>
      </c>
      <c r="F20" s="18">
        <f t="shared" si="2"/>
        <v>40914256.136769921</v>
      </c>
      <c r="G20" s="33">
        <f t="shared" si="5"/>
        <v>495075956.64502317</v>
      </c>
      <c r="H20" s="5">
        <f t="shared" si="3"/>
        <v>8.2642381613587529E-2</v>
      </c>
      <c r="I20" s="33">
        <f t="shared" si="6"/>
        <v>8.2642381613587528</v>
      </c>
      <c r="J20" s="18">
        <f t="shared" si="0"/>
        <v>40914256.136769921</v>
      </c>
      <c r="K20" s="18">
        <f t="shared" si="4"/>
        <v>391829408.57556033</v>
      </c>
      <c r="L20" s="69"/>
      <c r="M20" s="69"/>
      <c r="N20" s="69"/>
      <c r="O20" s="69"/>
    </row>
    <row r="21" spans="1:15" ht="15.6">
      <c r="A21" s="33">
        <v>18</v>
      </c>
      <c r="B21" s="33"/>
      <c r="C21" s="147">
        <v>1375340.855</v>
      </c>
      <c r="D21" s="145">
        <v>5562593.5159999998</v>
      </c>
      <c r="E21" s="151">
        <v>354183214.89300001</v>
      </c>
      <c r="F21" s="18">
        <f t="shared" si="2"/>
        <v>44248768.011916667</v>
      </c>
      <c r="G21" s="33">
        <f t="shared" si="5"/>
        <v>519829754.4772743</v>
      </c>
      <c r="H21" s="5">
        <f t="shared" si="3"/>
        <v>8.5121653061995164E-2</v>
      </c>
      <c r="I21" s="33">
        <f t="shared" si="6"/>
        <v>8.5121653061995168</v>
      </c>
      <c r="J21" s="18">
        <f t="shared" si="0"/>
        <v>44248768.011916667</v>
      </c>
      <c r="K21" s="18">
        <f t="shared" si="4"/>
        <v>436078176.58747697</v>
      </c>
      <c r="L21" s="69"/>
      <c r="M21" s="69"/>
      <c r="N21" s="69"/>
      <c r="O21" s="69"/>
    </row>
    <row r="22" spans="1:15" ht="15.6">
      <c r="A22" s="33">
        <v>19</v>
      </c>
      <c r="B22" s="33"/>
      <c r="C22" s="147">
        <v>1278361.298</v>
      </c>
      <c r="D22" s="145">
        <v>5815467.5810000002</v>
      </c>
      <c r="E22" s="151">
        <v>354044743.73769999</v>
      </c>
      <c r="F22" s="18">
        <f t="shared" si="2"/>
        <v>47855042.604887873</v>
      </c>
      <c r="G22" s="33">
        <f t="shared" si="5"/>
        <v>545821242.20113802</v>
      </c>
      <c r="H22" s="5">
        <f t="shared" si="3"/>
        <v>8.7675302653855008E-2</v>
      </c>
      <c r="I22" s="33">
        <f t="shared" si="6"/>
        <v>8.767530265385501</v>
      </c>
      <c r="J22" s="18">
        <f t="shared" si="0"/>
        <v>47855042.604887873</v>
      </c>
      <c r="K22" s="18">
        <f t="shared" si="4"/>
        <v>483933219.19236481</v>
      </c>
      <c r="L22" s="69"/>
      <c r="M22" s="69"/>
      <c r="N22" s="69"/>
      <c r="O22" s="69"/>
    </row>
    <row r="23" spans="1:15" ht="15.6">
      <c r="A23" s="33">
        <v>20</v>
      </c>
      <c r="B23" s="33"/>
      <c r="C23" s="147">
        <v>1290315.1029999999</v>
      </c>
      <c r="D23" s="145">
        <v>4634231.9479999999</v>
      </c>
      <c r="E23" s="151">
        <v>355132636.8908</v>
      </c>
      <c r="F23" s="18">
        <f t="shared" si="2"/>
        <v>51755228.577186227</v>
      </c>
      <c r="G23" s="33">
        <f t="shared" si="5"/>
        <v>573112304.3111949</v>
      </c>
      <c r="H23" s="5">
        <f t="shared" si="3"/>
        <v>9.0305561733470652E-2</v>
      </c>
      <c r="I23" s="33">
        <f t="shared" si="6"/>
        <v>9.0305561733470654</v>
      </c>
      <c r="J23" s="18">
        <f t="shared" si="0"/>
        <v>51755228.577186227</v>
      </c>
      <c r="K23" s="18">
        <f t="shared" si="4"/>
        <v>535688447.76955104</v>
      </c>
      <c r="L23" s="69"/>
      <c r="M23" s="69"/>
      <c r="N23" s="69"/>
      <c r="O23" s="69"/>
    </row>
    <row r="24" spans="1:15" ht="15.75" customHeight="1">
      <c r="A24" s="33">
        <v>21</v>
      </c>
      <c r="B24" s="69"/>
      <c r="C24" s="147">
        <v>1213564.6259999999</v>
      </c>
      <c r="D24" s="145">
        <v>5796852.1699999999</v>
      </c>
      <c r="E24" s="151">
        <v>354126873.19459999</v>
      </c>
      <c r="F24" s="18">
        <f t="shared" si="2"/>
        <v>55973279.706226908</v>
      </c>
      <c r="G24" s="33">
        <f t="shared" si="5"/>
        <v>601767919.52675462</v>
      </c>
      <c r="H24" s="5">
        <f t="shared" si="3"/>
        <v>9.3014728585474771E-2</v>
      </c>
      <c r="I24" s="33">
        <f t="shared" si="6"/>
        <v>9.3014728585474771</v>
      </c>
      <c r="J24" s="18">
        <f t="shared" si="0"/>
        <v>55973279.706226908</v>
      </c>
      <c r="K24" s="18">
        <f t="shared" si="4"/>
        <v>591661727.47577798</v>
      </c>
      <c r="L24" s="69"/>
      <c r="M24" s="69"/>
      <c r="N24" s="69"/>
      <c r="O24" s="69"/>
    </row>
    <row r="25" spans="1:15" ht="15.75" customHeight="1">
      <c r="A25" s="33">
        <v>22</v>
      </c>
      <c r="B25" s="69"/>
      <c r="C25" s="147">
        <v>1231092.642</v>
      </c>
      <c r="D25" s="145">
        <v>4936002.82</v>
      </c>
      <c r="E25" s="151">
        <v>354910880.88620001</v>
      </c>
      <c r="F25" s="18">
        <f t="shared" si="2"/>
        <v>60535102.0022844</v>
      </c>
      <c r="G25" s="33">
        <f t="shared" si="5"/>
        <v>631856315.50309229</v>
      </c>
      <c r="H25" s="5">
        <f t="shared" si="3"/>
        <v>9.5805170443039031E-2</v>
      </c>
      <c r="I25" s="33">
        <f t="shared" si="6"/>
        <v>9.5805170443039032</v>
      </c>
      <c r="J25" s="18">
        <f t="shared" si="0"/>
        <v>60535102.0022844</v>
      </c>
      <c r="K25" s="18">
        <f t="shared" si="4"/>
        <v>652196829.47806239</v>
      </c>
      <c r="L25" s="69"/>
      <c r="M25" s="69"/>
      <c r="N25" s="69"/>
      <c r="O25" s="69"/>
    </row>
    <row r="26" spans="1:15" ht="15.75" customHeight="1">
      <c r="A26" s="33">
        <v>23</v>
      </c>
      <c r="B26" s="69"/>
      <c r="C26" s="147">
        <v>1365120.9950000001</v>
      </c>
      <c r="D26" s="145">
        <v>4655897.5159999998</v>
      </c>
      <c r="E26" s="152">
        <v>355037658.21670002</v>
      </c>
      <c r="F26" s="18">
        <f t="shared" si="2"/>
        <v>65468712.815470599</v>
      </c>
      <c r="G26" s="33">
        <f t="shared" si="5"/>
        <v>663449131.27824712</v>
      </c>
      <c r="H26" s="5">
        <f t="shared" si="3"/>
        <v>9.8679325556330202E-2</v>
      </c>
      <c r="I26" s="33">
        <f t="shared" si="6"/>
        <v>9.8679325556330202</v>
      </c>
      <c r="J26" s="18">
        <f t="shared" si="0"/>
        <v>65468712.815470599</v>
      </c>
      <c r="K26" s="18">
        <f t="shared" si="4"/>
        <v>717665542.29353297</v>
      </c>
      <c r="L26" s="69"/>
      <c r="M26" s="69"/>
      <c r="N26" s="69"/>
      <c r="O26" s="69"/>
    </row>
    <row r="27" spans="1:15" ht="15.75" customHeight="1">
      <c r="A27" s="33">
        <v>24</v>
      </c>
      <c r="B27" s="69"/>
      <c r="C27" s="147">
        <v>1454620.7720000001</v>
      </c>
      <c r="D27" s="145">
        <v>5499336.9289999995</v>
      </c>
      <c r="E27" s="151">
        <v>354162833.10170001</v>
      </c>
      <c r="F27" s="18">
        <f t="shared" si="2"/>
        <v>70804412.909931436</v>
      </c>
      <c r="G27" s="33">
        <f t="shared" si="5"/>
        <v>696621587.84215939</v>
      </c>
      <c r="H27" s="5">
        <f t="shared" si="3"/>
        <v>0.10163970532302009</v>
      </c>
      <c r="I27" s="33">
        <f t="shared" si="6"/>
        <v>10.16397053230201</v>
      </c>
      <c r="J27" s="18">
        <f t="shared" si="0"/>
        <v>70804412.909931436</v>
      </c>
      <c r="K27" s="18">
        <f t="shared" si="4"/>
        <v>788469955.20346439</v>
      </c>
      <c r="L27" s="69"/>
      <c r="M27" s="69"/>
      <c r="N27" s="69"/>
      <c r="O27" s="69"/>
    </row>
    <row r="28" spans="1:15" ht="15.75" customHeight="1">
      <c r="A28" s="33">
        <v>25</v>
      </c>
      <c r="B28" s="69"/>
      <c r="C28" s="147">
        <v>1288636.095</v>
      </c>
      <c r="D28" s="145">
        <v>4758402.443</v>
      </c>
      <c r="E28" s="151">
        <v>355018700.91280001</v>
      </c>
      <c r="F28" s="18">
        <f t="shared" si="2"/>
        <v>76574972.562090844</v>
      </c>
      <c r="G28" s="33">
        <f t="shared" si="5"/>
        <v>731452667.23426735</v>
      </c>
      <c r="H28" s="5">
        <f t="shared" si="3"/>
        <v>0.10468889648271069</v>
      </c>
      <c r="I28" s="33">
        <f t="shared" si="6"/>
        <v>10.46888964827107</v>
      </c>
      <c r="J28" s="18">
        <f t="shared" si="0"/>
        <v>76574972.562090844</v>
      </c>
      <c r="K28" s="18">
        <f t="shared" si="4"/>
        <v>865044927.76555526</v>
      </c>
      <c r="L28" s="69"/>
      <c r="M28" s="69"/>
      <c r="N28" s="69"/>
      <c r="O28" s="69"/>
    </row>
    <row r="29" spans="1:15" ht="15.75" customHeight="1">
      <c r="A29" s="33">
        <v>26</v>
      </c>
      <c r="B29" s="69"/>
      <c r="C29" s="147">
        <v>1637139.36</v>
      </c>
      <c r="D29" s="145">
        <v>4949755.5970000001</v>
      </c>
      <c r="E29" s="151">
        <v>354492028.97549999</v>
      </c>
      <c r="F29" s="18">
        <f t="shared" si="2"/>
        <v>82815832.82590127</v>
      </c>
      <c r="G29" s="33">
        <f t="shared" si="5"/>
        <v>768025300.59598076</v>
      </c>
      <c r="H29" s="5">
        <f t="shared" si="3"/>
        <v>0.10782956337719203</v>
      </c>
      <c r="I29" s="33">
        <f t="shared" si="6"/>
        <v>10.782956337719202</v>
      </c>
      <c r="J29" s="18">
        <f t="shared" si="0"/>
        <v>82815832.82590127</v>
      </c>
      <c r="K29" s="18">
        <f t="shared" si="4"/>
        <v>947860760.59145653</v>
      </c>
      <c r="L29" s="69"/>
      <c r="M29" s="69"/>
      <c r="N29" s="69"/>
      <c r="O29" s="69"/>
    </row>
    <row r="30" spans="1:15" ht="15.75" customHeight="1">
      <c r="A30" s="33">
        <v>27</v>
      </c>
      <c r="B30" s="69"/>
      <c r="C30" s="147">
        <v>1561502.764</v>
      </c>
      <c r="D30" s="145">
        <v>5744348.1900000004</v>
      </c>
      <c r="E30" s="151">
        <v>353827821.44389999</v>
      </c>
      <c r="F30" s="18">
        <f t="shared" si="2"/>
        <v>89565323.201212227</v>
      </c>
      <c r="G30" s="33">
        <f t="shared" si="5"/>
        <v>806426565.62577987</v>
      </c>
      <c r="H30" s="5">
        <f t="shared" si="3"/>
        <v>0.11106445027850778</v>
      </c>
      <c r="I30" s="33">
        <f t="shared" si="6"/>
        <v>11.106445027850778</v>
      </c>
      <c r="J30" s="18">
        <f t="shared" si="0"/>
        <v>89565323.201212227</v>
      </c>
      <c r="K30" s="18">
        <f t="shared" si="4"/>
        <v>1037426083.7926688</v>
      </c>
      <c r="L30" s="69"/>
      <c r="M30" s="69"/>
      <c r="N30" s="69"/>
      <c r="O30" s="69"/>
    </row>
    <row r="31" spans="1:15" ht="15.75" customHeight="1">
      <c r="A31" s="33">
        <v>28</v>
      </c>
      <c r="B31" s="69"/>
      <c r="C31" s="147">
        <v>1619305.0649999999</v>
      </c>
      <c r="D31" s="145">
        <v>5805707.0190000003</v>
      </c>
      <c r="E31" s="151">
        <v>353712888.01719999</v>
      </c>
      <c r="F31" s="18">
        <f t="shared" si="2"/>
        <v>96864897.042110994</v>
      </c>
      <c r="G31" s="33">
        <f t="shared" si="5"/>
        <v>846747893.90706873</v>
      </c>
      <c r="H31" s="5">
        <f t="shared" si="3"/>
        <v>0.11439638378686301</v>
      </c>
      <c r="I31" s="33">
        <f t="shared" si="6"/>
        <v>11.439638378686301</v>
      </c>
      <c r="J31" s="18">
        <f t="shared" si="0"/>
        <v>96864897.042110994</v>
      </c>
      <c r="K31" s="18">
        <f t="shared" si="4"/>
        <v>1134290980.8347797</v>
      </c>
      <c r="L31" s="69"/>
      <c r="M31" s="69"/>
      <c r="N31" s="69"/>
      <c r="O31" s="69"/>
    </row>
    <row r="32" spans="1:15" ht="15.75" customHeight="1">
      <c r="A32" s="33">
        <v>29</v>
      </c>
      <c r="B32" s="122"/>
      <c r="C32" s="147">
        <v>1777779.415</v>
      </c>
      <c r="D32" s="145">
        <v>6139983.398</v>
      </c>
      <c r="E32" s="153">
        <v>353243169.36650002</v>
      </c>
      <c r="F32" s="18">
        <f t="shared" si="2"/>
        <v>104759386.15104306</v>
      </c>
      <c r="G32" s="33">
        <f t="shared" si="5"/>
        <v>889085288.60242236</v>
      </c>
      <c r="H32" s="5">
        <f t="shared" si="3"/>
        <v>0.1178282753004689</v>
      </c>
      <c r="I32" s="33">
        <f t="shared" si="6"/>
        <v>11.782827530046889</v>
      </c>
      <c r="J32" s="18">
        <f t="shared" si="0"/>
        <v>104759386.15104306</v>
      </c>
      <c r="K32" s="18">
        <f t="shared" si="4"/>
        <v>1239050366.9858227</v>
      </c>
      <c r="L32" s="69"/>
      <c r="M32" s="69"/>
      <c r="N32" s="69"/>
      <c r="O32" s="69"/>
    </row>
    <row r="33" spans="1:16" ht="15.75" customHeight="1" thickBot="1">
      <c r="A33" s="33">
        <v>30</v>
      </c>
      <c r="B33" s="16"/>
      <c r="C33" s="148">
        <v>1109394.95</v>
      </c>
      <c r="D33" s="149">
        <v>5795327.909</v>
      </c>
      <c r="E33" s="154">
        <v>354232462.10799998</v>
      </c>
      <c r="F33" s="18">
        <f t="shared" si="2"/>
        <v>113297276.122353</v>
      </c>
      <c r="G33" s="33">
        <f t="shared" si="5"/>
        <v>933539553.03254306</v>
      </c>
      <c r="H33" s="5">
        <f t="shared" si="3"/>
        <v>0.12136312355948295</v>
      </c>
      <c r="I33" s="33">
        <f t="shared" si="6"/>
        <v>12.136312355948295</v>
      </c>
      <c r="J33" s="18">
        <f t="shared" si="0"/>
        <v>113297276.122353</v>
      </c>
      <c r="K33" s="18">
        <f t="shared" si="4"/>
        <v>1352347643.1081758</v>
      </c>
      <c r="L33" s="69"/>
      <c r="M33" s="69"/>
      <c r="N33" s="69"/>
      <c r="O33" s="69"/>
    </row>
    <row r="34" spans="1:16" ht="15.75" customHeight="1">
      <c r="A34" s="33"/>
      <c r="B34" s="16"/>
      <c r="C34" s="16"/>
      <c r="D34" s="16"/>
      <c r="E34" s="16"/>
      <c r="F34" s="16"/>
      <c r="G34" s="16"/>
      <c r="H34" s="69"/>
      <c r="I34" s="69"/>
      <c r="J34" s="69"/>
      <c r="K34" s="69"/>
      <c r="L34" s="69"/>
      <c r="M34" s="69"/>
      <c r="N34" s="69"/>
      <c r="O34" s="69"/>
    </row>
    <row r="35" spans="1:16" ht="15.6">
      <c r="A35" s="33"/>
      <c r="B35" s="123"/>
      <c r="C35" s="123"/>
      <c r="D35" s="123"/>
      <c r="E35" s="123"/>
      <c r="F35" s="123"/>
      <c r="G35" s="123"/>
      <c r="H35" s="33"/>
      <c r="I35" s="33"/>
      <c r="J35" s="33"/>
      <c r="K35" s="33"/>
      <c r="L35" s="5"/>
      <c r="M35" s="69"/>
      <c r="N35" s="5"/>
      <c r="O35" s="5"/>
      <c r="P35" s="55"/>
    </row>
    <row r="36" spans="1:16" ht="15.6">
      <c r="A36" s="33"/>
      <c r="B36" s="124"/>
      <c r="C36" s="124"/>
      <c r="D36" s="124"/>
      <c r="E36" s="70"/>
      <c r="F36" s="123"/>
      <c r="G36" s="123"/>
      <c r="H36" s="33"/>
      <c r="I36" s="24" t="s">
        <v>28</v>
      </c>
      <c r="J36" s="27">
        <f t="array" ref="J36">NPV(0.074,J4:J33)+J3</f>
        <v>354232462.10803521</v>
      </c>
      <c r="K36" s="18"/>
      <c r="L36" s="10"/>
      <c r="M36" s="5"/>
      <c r="N36" s="5"/>
      <c r="O36" s="5"/>
      <c r="P36" s="120"/>
    </row>
    <row r="37" spans="1:16" ht="15.6">
      <c r="A37" s="33"/>
      <c r="B37" s="124"/>
      <c r="C37" s="124"/>
      <c r="D37" s="124"/>
      <c r="E37" s="125"/>
      <c r="F37" s="125"/>
      <c r="G37" s="123"/>
      <c r="H37" s="5"/>
      <c r="I37" s="24" t="s">
        <v>29</v>
      </c>
      <c r="J37" s="24">
        <v>5</v>
      </c>
      <c r="K37" s="18"/>
      <c r="L37" s="10"/>
      <c r="M37" s="5"/>
      <c r="N37" s="5"/>
      <c r="O37" s="5"/>
      <c r="P37" s="120"/>
    </row>
    <row r="38" spans="1:16" ht="15.6">
      <c r="A38" s="33"/>
      <c r="B38" s="123"/>
      <c r="C38" s="124"/>
      <c r="D38" s="124"/>
      <c r="E38" s="125"/>
      <c r="F38" s="125"/>
      <c r="G38" s="123"/>
      <c r="H38" s="5"/>
      <c r="I38" s="24" t="s">
        <v>30</v>
      </c>
      <c r="J38" s="26">
        <f>IRR(J3:J33,0.2)</f>
        <v>5.5814615466291766</v>
      </c>
      <c r="K38" s="18"/>
      <c r="L38" s="10"/>
      <c r="M38" s="5"/>
      <c r="N38" s="5"/>
      <c r="O38" s="5"/>
      <c r="P38" s="120"/>
    </row>
    <row r="39" spans="1:16" ht="15.6">
      <c r="A39" s="116"/>
      <c r="B39" s="117"/>
      <c r="C39" s="121"/>
      <c r="D39" s="121"/>
      <c r="E39" s="117"/>
      <c r="F39" s="117"/>
      <c r="G39" s="116"/>
      <c r="H39" s="116"/>
      <c r="I39" s="117"/>
      <c r="J39" s="117"/>
      <c r="K39" s="118"/>
      <c r="L39" s="118"/>
      <c r="M39" s="55"/>
      <c r="N39" s="55"/>
      <c r="O39" s="55"/>
      <c r="P39" s="120"/>
    </row>
    <row r="40" spans="1:16" ht="15.6">
      <c r="A40" s="116"/>
      <c r="B40" s="117"/>
      <c r="C40" s="121"/>
      <c r="D40" s="121"/>
      <c r="E40" s="117"/>
      <c r="F40" s="117"/>
      <c r="G40" s="116"/>
      <c r="H40" s="116"/>
      <c r="I40" s="117"/>
      <c r="J40" s="117"/>
      <c r="K40" s="118"/>
      <c r="L40" s="118"/>
      <c r="M40" s="55"/>
      <c r="N40" s="55"/>
      <c r="O40" s="55"/>
      <c r="P40" s="120"/>
    </row>
    <row r="41" spans="1:16" ht="15.6">
      <c r="A41" s="116"/>
      <c r="B41" s="117"/>
      <c r="C41" s="121"/>
      <c r="D41" s="121"/>
      <c r="E41" s="117"/>
      <c r="F41" s="117"/>
      <c r="G41" s="116"/>
      <c r="H41" s="116"/>
      <c r="I41" s="117"/>
      <c r="J41" s="117"/>
      <c r="K41" s="118"/>
      <c r="L41" s="118"/>
      <c r="M41" s="55"/>
      <c r="N41" s="55"/>
      <c r="O41" s="55"/>
      <c r="P41" s="120"/>
    </row>
    <row r="42" spans="1:16" ht="15.6">
      <c r="A42" s="116"/>
      <c r="B42" s="117"/>
      <c r="C42" s="121"/>
      <c r="D42" s="121"/>
      <c r="E42" s="117"/>
      <c r="F42" s="117"/>
      <c r="G42" s="116"/>
      <c r="H42" s="116"/>
      <c r="I42" s="117"/>
      <c r="J42" s="117"/>
      <c r="K42" s="118"/>
      <c r="L42" s="118"/>
      <c r="M42" s="55"/>
      <c r="N42" s="55"/>
      <c r="O42" s="55"/>
      <c r="P42" s="120"/>
    </row>
    <row r="43" spans="1:16" ht="15.6">
      <c r="A43" s="116"/>
      <c r="B43" s="117"/>
      <c r="C43" s="121"/>
      <c r="D43" s="121"/>
      <c r="E43" s="117"/>
      <c r="F43" s="117"/>
      <c r="G43" s="116"/>
      <c r="H43" s="116"/>
      <c r="I43" s="117"/>
      <c r="J43" s="117"/>
      <c r="K43" s="118"/>
      <c r="L43" s="118"/>
      <c r="M43" s="55"/>
      <c r="N43" s="55"/>
      <c r="O43" s="55"/>
      <c r="P43" s="120"/>
    </row>
    <row r="44" spans="1:16" ht="15.6">
      <c r="A44" s="116"/>
      <c r="B44" s="117"/>
      <c r="C44" s="121"/>
      <c r="D44" s="121"/>
      <c r="E44" s="117"/>
      <c r="F44" s="117"/>
      <c r="G44" s="116"/>
      <c r="H44" s="116"/>
      <c r="I44" s="117"/>
      <c r="J44" s="117"/>
      <c r="K44" s="118"/>
      <c r="L44" s="118"/>
      <c r="M44" s="55"/>
      <c r="N44" s="55"/>
      <c r="O44" s="55"/>
      <c r="P44" s="120"/>
    </row>
    <row r="45" spans="1:16" ht="15.6">
      <c r="A45" s="116"/>
      <c r="B45" s="117"/>
      <c r="C45" s="121"/>
      <c r="D45" s="121"/>
      <c r="E45" s="117"/>
      <c r="F45" s="117"/>
      <c r="G45" s="116"/>
      <c r="H45" s="116"/>
      <c r="I45" s="117"/>
      <c r="J45" s="117"/>
      <c r="K45" s="118"/>
      <c r="L45" s="118"/>
      <c r="M45" s="55"/>
      <c r="N45" s="55"/>
      <c r="O45" s="55"/>
      <c r="P45" s="120"/>
    </row>
    <row r="46" spans="1:16" ht="15.6">
      <c r="A46" s="116"/>
      <c r="B46" s="117"/>
      <c r="C46" s="121"/>
      <c r="D46" s="121"/>
      <c r="E46" s="117"/>
      <c r="F46" s="117"/>
      <c r="G46" s="116"/>
      <c r="H46" s="116"/>
      <c r="I46" s="117"/>
      <c r="J46" s="117"/>
      <c r="K46" s="118"/>
      <c r="L46" s="118"/>
      <c r="M46" s="55"/>
      <c r="N46" s="55"/>
      <c r="O46" s="55"/>
      <c r="P46" s="120"/>
    </row>
    <row r="47" spans="1:16" ht="15.6">
      <c r="A47" s="116"/>
      <c r="B47" s="117"/>
      <c r="C47" s="121"/>
      <c r="D47" s="121"/>
      <c r="E47" s="117"/>
      <c r="F47" s="117"/>
      <c r="G47" s="116"/>
      <c r="H47" s="116"/>
      <c r="I47" s="117"/>
      <c r="J47" s="117"/>
      <c r="K47" s="118"/>
      <c r="L47" s="118"/>
      <c r="M47" s="55"/>
      <c r="N47" s="55"/>
      <c r="O47" s="55"/>
      <c r="P47" s="120"/>
    </row>
    <row r="48" spans="1:16" ht="15.6">
      <c r="A48" s="116"/>
      <c r="B48" s="117"/>
      <c r="C48" s="121"/>
      <c r="D48" s="121"/>
      <c r="E48" s="117"/>
      <c r="F48" s="117"/>
      <c r="G48" s="116"/>
      <c r="H48" s="116"/>
      <c r="I48" s="117"/>
      <c r="J48" s="117"/>
      <c r="K48" s="118"/>
      <c r="L48" s="118"/>
      <c r="M48" s="55"/>
      <c r="N48" s="55"/>
      <c r="O48" s="55"/>
      <c r="P48" s="120"/>
    </row>
    <row r="49" spans="1:16" ht="15.6">
      <c r="A49" s="116"/>
      <c r="B49" s="117"/>
      <c r="C49" s="121"/>
      <c r="D49" s="121"/>
      <c r="E49" s="117"/>
      <c r="F49" s="117"/>
      <c r="G49" s="116"/>
      <c r="H49" s="116"/>
      <c r="I49" s="117"/>
      <c r="J49" s="117"/>
      <c r="K49" s="118"/>
      <c r="L49" s="118"/>
      <c r="M49" s="55"/>
      <c r="N49" s="55"/>
      <c r="O49" s="55"/>
      <c r="P49" s="120"/>
    </row>
    <row r="50" spans="1:16" ht="15.6">
      <c r="A50" s="116"/>
      <c r="B50" s="117"/>
      <c r="C50" s="121"/>
      <c r="D50" s="121"/>
      <c r="E50" s="117"/>
      <c r="F50" s="117"/>
      <c r="G50" s="116"/>
      <c r="H50" s="116"/>
      <c r="I50" s="117"/>
      <c r="J50" s="117"/>
      <c r="K50" s="118"/>
      <c r="M50" s="55"/>
      <c r="N50" s="55"/>
      <c r="O50" s="55"/>
      <c r="P50" s="120"/>
    </row>
    <row r="51" spans="1:16" ht="15.6">
      <c r="A51" s="116"/>
      <c r="B51" s="117"/>
      <c r="C51" s="121"/>
      <c r="D51" s="121"/>
      <c r="E51" s="117"/>
      <c r="F51" s="117"/>
      <c r="G51" s="116"/>
      <c r="H51" s="116"/>
      <c r="I51" s="117"/>
      <c r="J51" s="117"/>
      <c r="K51" s="118"/>
      <c r="M51" s="55"/>
      <c r="N51" s="55"/>
      <c r="O51" s="55"/>
      <c r="P51" s="120"/>
    </row>
    <row r="52" spans="1:16" ht="15.6">
      <c r="A52" s="116"/>
      <c r="B52" s="117"/>
      <c r="C52" s="121"/>
      <c r="D52" s="121"/>
      <c r="E52" s="117"/>
      <c r="F52" s="117"/>
      <c r="G52" s="116"/>
      <c r="H52" s="116"/>
      <c r="I52" s="117"/>
      <c r="J52" s="117"/>
      <c r="K52" s="118"/>
      <c r="M52" s="55"/>
      <c r="N52" s="55"/>
      <c r="O52" s="55"/>
      <c r="P52" s="120"/>
    </row>
    <row r="53" spans="1:16" ht="15.6">
      <c r="A53" s="116"/>
      <c r="B53" s="117"/>
      <c r="C53" s="121"/>
      <c r="D53" s="121"/>
      <c r="E53" s="117"/>
      <c r="F53" s="117"/>
      <c r="G53" s="116"/>
      <c r="H53" s="116"/>
      <c r="I53" s="117"/>
      <c r="J53" s="117"/>
      <c r="K53" s="118"/>
      <c r="M53" s="55"/>
      <c r="N53" s="55"/>
      <c r="O53" s="55"/>
      <c r="P53" s="120"/>
    </row>
    <row r="54" spans="1:16" ht="15.6">
      <c r="A54" s="116"/>
      <c r="B54" s="117"/>
      <c r="C54" s="121"/>
      <c r="D54" s="121"/>
      <c r="E54" s="117"/>
      <c r="F54" s="117"/>
      <c r="G54" s="116"/>
      <c r="H54" s="116"/>
      <c r="I54" s="117"/>
      <c r="J54" s="117"/>
      <c r="K54" s="118"/>
      <c r="M54" s="55"/>
      <c r="N54" s="55"/>
      <c r="O54" s="55"/>
      <c r="P54" s="120"/>
    </row>
    <row r="55" spans="1:16" ht="15.6">
      <c r="A55" s="116"/>
      <c r="B55" s="117"/>
      <c r="C55" s="121"/>
      <c r="D55" s="121"/>
      <c r="E55" s="117"/>
      <c r="F55" s="117"/>
      <c r="G55" s="116"/>
      <c r="H55" s="116"/>
      <c r="I55" s="117"/>
      <c r="J55" s="117"/>
      <c r="K55" s="118"/>
      <c r="M55" s="55"/>
      <c r="N55" s="55"/>
      <c r="O55" s="55"/>
      <c r="P55" s="120"/>
    </row>
    <row r="56" spans="1:16" ht="15.6">
      <c r="A56" s="116"/>
      <c r="B56" s="117"/>
      <c r="C56" s="121"/>
      <c r="D56" s="121"/>
      <c r="E56" s="117"/>
      <c r="F56" s="117"/>
      <c r="G56" s="116"/>
      <c r="H56" s="116"/>
      <c r="I56" s="117"/>
      <c r="J56" s="117"/>
      <c r="K56" s="118"/>
      <c r="M56" s="55"/>
      <c r="N56" s="55"/>
      <c r="O56" s="55"/>
      <c r="P56" s="119"/>
    </row>
    <row r="57" spans="1:16" ht="15.6">
      <c r="A57" s="55"/>
      <c r="B57" s="117"/>
      <c r="C57" s="121"/>
      <c r="D57" s="121"/>
      <c r="E57" s="117"/>
      <c r="F57" s="117"/>
      <c r="G57" s="116"/>
      <c r="H57" s="116"/>
      <c r="I57" s="117"/>
      <c r="J57" s="117"/>
      <c r="K57" s="118"/>
      <c r="M57" s="55"/>
      <c r="N57" s="55"/>
      <c r="O57" s="55"/>
      <c r="P57" s="119"/>
    </row>
    <row r="58" spans="1:16" ht="15.6">
      <c r="A58" s="55"/>
      <c r="B58" s="117"/>
      <c r="C58" s="121"/>
      <c r="D58" s="121"/>
      <c r="E58" s="117"/>
      <c r="F58" s="117"/>
      <c r="G58" s="116"/>
      <c r="H58" s="116"/>
      <c r="I58" s="117"/>
      <c r="J58" s="117"/>
      <c r="K58" s="118"/>
      <c r="M58" s="55"/>
      <c r="N58" s="55"/>
      <c r="O58" s="55"/>
      <c r="P58" s="119"/>
    </row>
    <row r="59" spans="1:16" ht="15.6">
      <c r="A59" s="55"/>
      <c r="B59" s="117"/>
      <c r="C59" s="121"/>
      <c r="D59" s="121"/>
      <c r="E59" s="117"/>
      <c r="F59" s="117"/>
      <c r="G59" s="116"/>
      <c r="H59" s="116"/>
      <c r="I59" s="117"/>
      <c r="J59" s="117"/>
      <c r="K59" s="118"/>
      <c r="M59" s="55"/>
      <c r="N59" s="55"/>
      <c r="O59" s="55"/>
      <c r="P59" s="119"/>
    </row>
    <row r="60" spans="1:16" ht="15.6">
      <c r="A60" s="55"/>
      <c r="B60" s="117"/>
      <c r="C60" s="121"/>
      <c r="D60" s="121"/>
      <c r="E60" s="117"/>
      <c r="F60" s="117"/>
      <c r="G60" s="116"/>
      <c r="H60" s="116"/>
      <c r="I60" s="117"/>
      <c r="J60" s="117"/>
      <c r="K60" s="118"/>
      <c r="M60" s="55"/>
      <c r="N60" s="55"/>
      <c r="O60" s="55"/>
      <c r="P60" s="119"/>
    </row>
    <row r="61" spans="1:16" ht="15.6">
      <c r="A61" s="55"/>
      <c r="B61" s="117"/>
      <c r="C61" s="121"/>
      <c r="D61" s="121"/>
      <c r="E61" s="117"/>
      <c r="F61" s="117"/>
      <c r="G61" s="116"/>
      <c r="H61" s="116"/>
      <c r="I61" s="117"/>
      <c r="J61" s="117"/>
      <c r="K61" s="118"/>
      <c r="M61" s="55"/>
      <c r="N61" s="55"/>
      <c r="O61" s="55"/>
      <c r="P61" s="119"/>
    </row>
    <row r="62" spans="1:16" ht="15.6">
      <c r="A62" s="55"/>
      <c r="B62" s="117"/>
      <c r="C62" s="121"/>
      <c r="D62" s="121"/>
      <c r="E62" s="117"/>
      <c r="F62" s="117"/>
      <c r="G62" s="116"/>
      <c r="H62" s="116"/>
      <c r="I62" s="117"/>
      <c r="J62" s="117"/>
      <c r="K62" s="118"/>
      <c r="M62" s="55"/>
      <c r="N62" s="55"/>
      <c r="O62" s="55"/>
      <c r="P62" s="119"/>
    </row>
    <row r="63" spans="1:16" ht="15.6">
      <c r="A63" s="55"/>
      <c r="B63" s="117"/>
      <c r="C63" s="121"/>
      <c r="D63" s="121"/>
      <c r="E63" s="117"/>
      <c r="F63" s="117"/>
      <c r="G63" s="116"/>
      <c r="H63" s="116"/>
      <c r="I63" s="117"/>
      <c r="J63" s="117"/>
      <c r="K63" s="118"/>
      <c r="M63" s="55"/>
      <c r="N63" s="55"/>
      <c r="O63" s="55"/>
      <c r="P63" s="119"/>
    </row>
    <row r="64" spans="1:16" ht="15.6">
      <c r="A64" s="55"/>
      <c r="B64" s="117"/>
      <c r="C64" s="121"/>
      <c r="D64" s="121"/>
      <c r="E64" s="117"/>
      <c r="F64" s="117"/>
      <c r="G64" s="116"/>
      <c r="H64" s="116"/>
      <c r="I64" s="117"/>
      <c r="J64" s="117"/>
      <c r="K64" s="118"/>
      <c r="M64" s="55"/>
      <c r="N64" s="55"/>
      <c r="O64" s="55"/>
      <c r="P64" s="119"/>
    </row>
    <row r="65" spans="1:16" ht="15.6">
      <c r="A65" s="55"/>
      <c r="B65" s="117"/>
      <c r="C65" s="121"/>
      <c r="D65" s="121"/>
      <c r="E65" s="117"/>
      <c r="F65" s="117"/>
      <c r="G65" s="116"/>
      <c r="H65" s="116"/>
      <c r="I65" s="117"/>
      <c r="J65" s="117"/>
      <c r="K65" s="118"/>
      <c r="M65" s="55"/>
      <c r="N65" s="55"/>
      <c r="O65" s="55"/>
      <c r="P65" s="119"/>
    </row>
    <row r="66" spans="1:16" ht="15.75" customHeight="1">
      <c r="A66" s="55"/>
      <c r="B66" s="117"/>
      <c r="C66" s="121"/>
      <c r="D66" s="121"/>
      <c r="E66" s="117"/>
      <c r="F66" s="117"/>
      <c r="G66" s="116"/>
      <c r="H66" s="116"/>
      <c r="I66" s="117"/>
      <c r="J66" s="117"/>
      <c r="K66" s="118"/>
    </row>
    <row r="67" spans="1:16" ht="15.75" customHeight="1">
      <c r="F67" s="119"/>
      <c r="G67" s="12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1</xdr:col>
                <xdr:colOff>1242060</xdr:colOff>
                <xdr:row>37</xdr:row>
                <xdr:rowOff>76200</xdr:rowOff>
              </from>
              <to>
                <xdr:col>3</xdr:col>
                <xdr:colOff>914400</xdr:colOff>
                <xdr:row>43</xdr:row>
                <xdr:rowOff>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P53"/>
  <sheetViews>
    <sheetView topLeftCell="B10" zoomScale="81" workbookViewId="0">
      <selection activeCell="C37" sqref="C37"/>
    </sheetView>
  </sheetViews>
  <sheetFormatPr defaultColWidth="14.44140625" defaultRowHeight="15.75" customHeight="1"/>
  <cols>
    <col min="2" max="2" width="41.33203125" customWidth="1"/>
    <col min="3" max="3" width="23.6640625" style="29" customWidth="1"/>
    <col min="4" max="4" width="20.6640625" style="29" customWidth="1"/>
    <col min="5" max="5" width="19.88671875" style="29" customWidth="1"/>
    <col min="6" max="6" width="18" customWidth="1"/>
    <col min="7" max="7" width="20.44140625" customWidth="1"/>
    <col min="8" max="8" width="18.88671875" customWidth="1"/>
    <col min="9" max="9" width="18.6640625" customWidth="1"/>
    <col min="10" max="10" width="21" customWidth="1"/>
    <col min="11" max="11" width="16.5546875" customWidth="1"/>
    <col min="12" max="12" width="45.109375" customWidth="1"/>
    <col min="13" max="13" width="20.5546875" customWidth="1"/>
    <col min="15" max="15" width="11.109375" customWidth="1"/>
    <col min="16" max="16" width="16.44140625" customWidth="1"/>
  </cols>
  <sheetData>
    <row r="1" spans="1:16" ht="16.2" thickBot="1">
      <c r="A1" s="2" t="s">
        <v>0</v>
      </c>
      <c r="B1" s="1"/>
      <c r="C1" s="28"/>
      <c r="D1" s="28"/>
      <c r="E1" s="28"/>
      <c r="F1" s="1"/>
      <c r="G1" s="1"/>
      <c r="H1" s="1"/>
      <c r="I1" s="1"/>
      <c r="J1" s="1"/>
    </row>
    <row r="2" spans="1:16" ht="15.6">
      <c r="A2" s="4" t="s">
        <v>1</v>
      </c>
      <c r="B2" s="126" t="s">
        <v>10</v>
      </c>
      <c r="C2" s="133" t="s">
        <v>33</v>
      </c>
      <c r="D2" s="134" t="s">
        <v>34</v>
      </c>
      <c r="E2" s="135" t="s">
        <v>80</v>
      </c>
      <c r="F2" s="128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6" t="s">
        <v>8</v>
      </c>
      <c r="L2" s="7" t="s">
        <v>11</v>
      </c>
    </row>
    <row r="3" spans="1:16" ht="15.6">
      <c r="A3" s="8">
        <v>0</v>
      </c>
      <c r="B3" s="138">
        <v>1564698215.0281515</v>
      </c>
      <c r="C3" s="136"/>
      <c r="D3" s="131"/>
      <c r="E3" s="137"/>
      <c r="F3" s="129"/>
      <c r="G3" s="11"/>
      <c r="H3" s="11"/>
      <c r="I3" s="13">
        <f t="shared" ref="I3:I33" si="0">F3-B3</f>
        <v>-1564698215.0281515</v>
      </c>
      <c r="J3" s="13">
        <f>SUM(I$3:I3)</f>
        <v>-1564698215.0281515</v>
      </c>
      <c r="K3" s="15">
        <f t="shared" ref="K3:K33" si="1">SUM(G$3:G3)</f>
        <v>0</v>
      </c>
      <c r="L3" s="5" t="s">
        <v>16</v>
      </c>
      <c r="M3" s="12">
        <v>0.03</v>
      </c>
    </row>
    <row r="4" spans="1:16" ht="15.6">
      <c r="A4" s="8">
        <v>1</v>
      </c>
      <c r="B4" s="132">
        <v>1295151020.9995654</v>
      </c>
      <c r="C4" s="138">
        <v>2038621609.9015293</v>
      </c>
      <c r="D4" s="132">
        <v>981729890.0766933</v>
      </c>
      <c r="E4" s="139">
        <v>17388261064.036598</v>
      </c>
      <c r="F4" s="130">
        <f t="shared" ref="F4:F23" si="2">G4*H4</f>
        <v>2250000000</v>
      </c>
      <c r="G4" s="19">
        <v>25000</v>
      </c>
      <c r="H4" s="8">
        <v>90000</v>
      </c>
      <c r="I4" s="13">
        <f t="shared" si="0"/>
        <v>954848979.00043464</v>
      </c>
      <c r="J4" s="13">
        <f>SUM($I$3:I4)</f>
        <v>-609849236.02771688</v>
      </c>
      <c r="K4" s="15">
        <f t="shared" si="1"/>
        <v>25000</v>
      </c>
      <c r="L4" s="5" t="s">
        <v>17</v>
      </c>
      <c r="M4" s="12">
        <v>0.05</v>
      </c>
      <c r="O4" s="5">
        <v>2.7</v>
      </c>
      <c r="P4" s="5">
        <v>10000</v>
      </c>
    </row>
    <row r="5" spans="1:16" ht="15.6">
      <c r="A5" s="8">
        <v>2</v>
      </c>
      <c r="B5" s="127">
        <f t="shared" ref="B5:B33" si="3">$B$4*(1+$M$3)^A5</f>
        <v>1374025718.1784389</v>
      </c>
      <c r="C5" s="138">
        <v>1431750593.3617787</v>
      </c>
      <c r="D5" s="132">
        <v>595096112.39123106</v>
      </c>
      <c r="E5" s="139">
        <v>23114561709.662701</v>
      </c>
      <c r="F5" s="130">
        <f t="shared" si="2"/>
        <v>2431304667</v>
      </c>
      <c r="G5" s="19">
        <v>27563</v>
      </c>
      <c r="H5" s="11">
        <f t="shared" ref="H5:H33" si="4">$H$4*(1-0.01)^A5</f>
        <v>88209</v>
      </c>
      <c r="I5" s="13">
        <f t="shared" si="0"/>
        <v>1057278948.8215611</v>
      </c>
      <c r="J5" s="13">
        <f>SUM($I$3:I5)</f>
        <v>447429712.79384422</v>
      </c>
      <c r="K5" s="15">
        <f t="shared" si="1"/>
        <v>52563</v>
      </c>
      <c r="L5" s="5" t="s">
        <v>23</v>
      </c>
      <c r="M5" s="5">
        <v>25000</v>
      </c>
      <c r="O5">
        <f>P5/P4</f>
        <v>2.5</v>
      </c>
      <c r="P5" s="5">
        <v>25000</v>
      </c>
    </row>
    <row r="6" spans="1:16" ht="15.6">
      <c r="A6" s="8">
        <v>3</v>
      </c>
      <c r="B6" s="127">
        <f t="shared" si="3"/>
        <v>1415246489.7237921</v>
      </c>
      <c r="C6" s="138">
        <v>1496659436.7654409</v>
      </c>
      <c r="D6" s="132">
        <v>1251537597.8896732</v>
      </c>
      <c r="E6" s="139">
        <v>14357691158.3605</v>
      </c>
      <c r="F6" s="130">
        <f t="shared" si="2"/>
        <v>2527328102.3099995</v>
      </c>
      <c r="G6" s="19">
        <v>28941</v>
      </c>
      <c r="H6" s="11">
        <f t="shared" si="4"/>
        <v>87326.909999999989</v>
      </c>
      <c r="I6" s="13">
        <f t="shared" si="0"/>
        <v>1112081612.5862074</v>
      </c>
      <c r="J6" s="13">
        <f>SUM($I$3:I6)</f>
        <v>1559511325.3800516</v>
      </c>
      <c r="K6" s="15">
        <f t="shared" si="1"/>
        <v>81504</v>
      </c>
      <c r="L6" s="5" t="s">
        <v>26</v>
      </c>
      <c r="O6" s="5">
        <v>6750000000</v>
      </c>
      <c r="P6" s="22">
        <f>B4</f>
        <v>1295151020.9995654</v>
      </c>
    </row>
    <row r="7" spans="1:16" ht="15.6">
      <c r="A7" s="8">
        <v>4</v>
      </c>
      <c r="B7" s="127">
        <f t="shared" si="3"/>
        <v>1457703884.4155056</v>
      </c>
      <c r="C7" s="138">
        <v>1600562615.6726871</v>
      </c>
      <c r="D7" s="132">
        <v>1011619541.6687961</v>
      </c>
      <c r="E7" s="139">
        <v>17430550270.9496</v>
      </c>
      <c r="F7" s="130">
        <f t="shared" si="2"/>
        <v>2627153239.6691999</v>
      </c>
      <c r="G7" s="19">
        <v>30388</v>
      </c>
      <c r="H7" s="11">
        <f t="shared" si="4"/>
        <v>86453.640899999999</v>
      </c>
      <c r="I7" s="13">
        <f t="shared" si="0"/>
        <v>1169449355.2536943</v>
      </c>
      <c r="J7" s="13">
        <f>SUM($I$3:I7)</f>
        <v>2728960680.6337461</v>
      </c>
      <c r="K7" s="15">
        <f t="shared" si="1"/>
        <v>111892</v>
      </c>
      <c r="L7" s="5" t="s">
        <v>27</v>
      </c>
    </row>
    <row r="8" spans="1:16" ht="15.6">
      <c r="A8" s="8">
        <v>5</v>
      </c>
      <c r="B8" s="127">
        <f t="shared" si="3"/>
        <v>1501435000.9479709</v>
      </c>
      <c r="C8" s="138">
        <v>1588090829.9700232</v>
      </c>
      <c r="D8" s="132">
        <v>858121134.9186635</v>
      </c>
      <c r="E8" s="139">
        <v>19475499136.741901</v>
      </c>
      <c r="F8" s="130">
        <f t="shared" si="2"/>
        <v>2730977146.0988278</v>
      </c>
      <c r="G8" s="19">
        <v>31908</v>
      </c>
      <c r="H8" s="11">
        <f t="shared" si="4"/>
        <v>85589.104490999991</v>
      </c>
      <c r="I8" s="13">
        <f t="shared" si="0"/>
        <v>1229542145.150857</v>
      </c>
      <c r="J8" s="13">
        <f>SUM($I$3:I8)</f>
        <v>3958502825.7846031</v>
      </c>
      <c r="K8" s="15">
        <f t="shared" si="1"/>
        <v>143800</v>
      </c>
      <c r="L8" s="5" t="s">
        <v>25</v>
      </c>
      <c r="M8" s="22">
        <f>O6-P6</f>
        <v>5454848979.0004349</v>
      </c>
    </row>
    <row r="9" spans="1:16" ht="15.6">
      <c r="A9" s="8">
        <v>6</v>
      </c>
      <c r="B9" s="127">
        <f t="shared" si="3"/>
        <v>1546478050.9764099</v>
      </c>
      <c r="C9" s="138">
        <v>1944529400.9855099</v>
      </c>
      <c r="D9" s="132">
        <v>719863341.86492491</v>
      </c>
      <c r="E9" s="139">
        <v>20949736215.558601</v>
      </c>
      <c r="F9" s="130">
        <f t="shared" si="2"/>
        <v>2838816850.0843525</v>
      </c>
      <c r="G9" s="19">
        <v>33503</v>
      </c>
      <c r="H9" s="11">
        <f t="shared" si="4"/>
        <v>84733.213446089983</v>
      </c>
      <c r="I9" s="13">
        <f t="shared" si="0"/>
        <v>1292338799.1079426</v>
      </c>
      <c r="J9" s="13">
        <f>SUM($I$3:I9)</f>
        <v>5250841624.8925457</v>
      </c>
      <c r="K9" s="15">
        <f t="shared" si="1"/>
        <v>177303</v>
      </c>
    </row>
    <row r="10" spans="1:16" ht="15.6">
      <c r="A10" s="8">
        <v>7</v>
      </c>
      <c r="B10" s="127">
        <f t="shared" si="3"/>
        <v>1592872392.5057025</v>
      </c>
      <c r="C10" s="138">
        <v>2166708116.398499</v>
      </c>
      <c r="D10" s="132">
        <v>1064970488.1899738</v>
      </c>
      <c r="E10" s="139">
        <v>16157983262.0065</v>
      </c>
      <c r="F10" s="130">
        <f t="shared" si="2"/>
        <v>2950937532.7804885</v>
      </c>
      <c r="G10" s="19">
        <v>35178</v>
      </c>
      <c r="H10" s="11">
        <f t="shared" si="4"/>
        <v>83885.881311629098</v>
      </c>
      <c r="I10" s="13">
        <f t="shared" si="0"/>
        <v>1358065140.274786</v>
      </c>
      <c r="J10" s="13">
        <f>SUM($I$3:I10)</f>
        <v>6608906765.1673317</v>
      </c>
      <c r="K10" s="15">
        <f t="shared" si="1"/>
        <v>212481</v>
      </c>
    </row>
    <row r="11" spans="1:16" ht="15.6">
      <c r="A11" s="8">
        <v>8</v>
      </c>
      <c r="B11" s="127">
        <f t="shared" si="3"/>
        <v>1640658564.2808733</v>
      </c>
      <c r="C11" s="138">
        <v>1748627685.6708026</v>
      </c>
      <c r="D11" s="132">
        <v>1300492579.681628</v>
      </c>
      <c r="E11" s="139">
        <v>13457508504.139999</v>
      </c>
      <c r="F11" s="130">
        <f t="shared" si="2"/>
        <v>3067507870.0275674</v>
      </c>
      <c r="G11" s="19">
        <v>36937</v>
      </c>
      <c r="H11" s="11">
        <f t="shared" si="4"/>
        <v>83047.022498512801</v>
      </c>
      <c r="I11" s="13">
        <f t="shared" si="0"/>
        <v>1426849305.7466941</v>
      </c>
      <c r="J11" s="13">
        <f>SUM($I$3:I11)</f>
        <v>8035756070.9140263</v>
      </c>
      <c r="K11" s="15">
        <f t="shared" si="1"/>
        <v>249418</v>
      </c>
    </row>
    <row r="12" spans="1:16" ht="15.6">
      <c r="A12" s="8">
        <v>9</v>
      </c>
      <c r="B12" s="127">
        <f t="shared" si="3"/>
        <v>1689878321.2092996</v>
      </c>
      <c r="C12" s="138">
        <v>1716574452.2694046</v>
      </c>
      <c r="D12" s="132">
        <v>837882898.36007166</v>
      </c>
      <c r="E12" s="139">
        <v>19614990621.270401</v>
      </c>
      <c r="F12" s="130">
        <f t="shared" si="2"/>
        <v>3188686763.3764968</v>
      </c>
      <c r="G12" s="19">
        <v>38784</v>
      </c>
      <c r="H12" s="11">
        <f t="shared" si="4"/>
        <v>82216.552273527661</v>
      </c>
      <c r="I12" s="13">
        <f t="shared" si="0"/>
        <v>1498808442.1671972</v>
      </c>
      <c r="J12" s="13">
        <f>SUM($I$3:I12)</f>
        <v>9534564513.0812225</v>
      </c>
      <c r="K12" s="15">
        <f t="shared" si="1"/>
        <v>288202</v>
      </c>
    </row>
    <row r="13" spans="1:16" ht="15.6">
      <c r="A13" s="8">
        <v>10</v>
      </c>
      <c r="B13" s="127">
        <f t="shared" si="3"/>
        <v>1740574670.8455784</v>
      </c>
      <c r="C13" s="138">
        <v>2157898230.9695415</v>
      </c>
      <c r="D13" s="132">
        <v>1098598096.1111569</v>
      </c>
      <c r="E13" s="139">
        <v>15721528966.489901</v>
      </c>
      <c r="F13" s="130">
        <f t="shared" si="2"/>
        <v>3314623611.6525183</v>
      </c>
      <c r="G13" s="19">
        <v>40723</v>
      </c>
      <c r="H13" s="11">
        <f t="shared" si="4"/>
        <v>81394.386750792386</v>
      </c>
      <c r="I13" s="13">
        <f t="shared" si="0"/>
        <v>1574048940.8069398</v>
      </c>
      <c r="J13" s="13">
        <f>SUM($I$3:I13)</f>
        <v>11108613453.888163</v>
      </c>
      <c r="K13" s="15">
        <f t="shared" si="1"/>
        <v>328925</v>
      </c>
    </row>
    <row r="14" spans="1:16" ht="15.6">
      <c r="A14" s="8">
        <v>11</v>
      </c>
      <c r="B14" s="127">
        <f t="shared" si="3"/>
        <v>1792791910.9709458</v>
      </c>
      <c r="C14" s="138">
        <v>2058181598.2978652</v>
      </c>
      <c r="D14" s="132">
        <v>1051436312.6478857</v>
      </c>
      <c r="E14" s="139">
        <v>16445716210.777</v>
      </c>
      <c r="F14" s="130">
        <f t="shared" si="2"/>
        <v>3445539157.2463608</v>
      </c>
      <c r="G14" s="19">
        <v>42759</v>
      </c>
      <c r="H14" s="11">
        <f t="shared" si="4"/>
        <v>80580.442883284471</v>
      </c>
      <c r="I14" s="13">
        <f t="shared" si="0"/>
        <v>1652747246.2754149</v>
      </c>
      <c r="J14" s="13">
        <f>SUM($I$3:I14)</f>
        <v>12761360700.163578</v>
      </c>
      <c r="K14" s="15">
        <f t="shared" si="1"/>
        <v>371684</v>
      </c>
    </row>
    <row r="15" spans="1:16" ht="15.6">
      <c r="A15" s="8">
        <v>12</v>
      </c>
      <c r="B15" s="127">
        <f t="shared" si="3"/>
        <v>1846575668.3000741</v>
      </c>
      <c r="C15" s="138">
        <v>1943094413.6539743</v>
      </c>
      <c r="D15" s="132">
        <v>1344763981.4049788</v>
      </c>
      <c r="E15" s="139">
        <v>12676842797.2148</v>
      </c>
      <c r="F15" s="130">
        <f t="shared" si="2"/>
        <v>3581641942.6895142</v>
      </c>
      <c r="G15" s="19">
        <v>44897</v>
      </c>
      <c r="H15" s="11">
        <f t="shared" si="4"/>
        <v>79774.638454451619</v>
      </c>
      <c r="I15" s="13">
        <f t="shared" si="0"/>
        <v>1735066274.3894401</v>
      </c>
      <c r="J15" s="13">
        <f>SUM($I$3:I15)</f>
        <v>14496426974.553019</v>
      </c>
      <c r="K15" s="15">
        <f t="shared" si="1"/>
        <v>416581</v>
      </c>
    </row>
    <row r="16" spans="1:16" ht="15.6">
      <c r="A16" s="8">
        <v>13</v>
      </c>
      <c r="B16" s="127">
        <f t="shared" si="3"/>
        <v>1901972938.3490763</v>
      </c>
      <c r="C16" s="138">
        <v>2026268571.6191177</v>
      </c>
      <c r="D16" s="132">
        <v>367561084.6251148</v>
      </c>
      <c r="E16" s="139">
        <v>25532841965.884701</v>
      </c>
      <c r="F16" s="130">
        <f t="shared" si="2"/>
        <v>3723128645.9595604</v>
      </c>
      <c r="G16" s="19">
        <v>47142</v>
      </c>
      <c r="H16" s="11">
        <f t="shared" si="4"/>
        <v>78976.892069907102</v>
      </c>
      <c r="I16" s="13">
        <f t="shared" si="0"/>
        <v>1821155707.6104841</v>
      </c>
      <c r="J16" s="13">
        <f>SUM($I$3:I16)</f>
        <v>16317582682.163502</v>
      </c>
      <c r="K16" s="15">
        <f t="shared" si="1"/>
        <v>463723</v>
      </c>
    </row>
    <row r="17" spans="1:11" ht="15.6">
      <c r="A17" s="8">
        <v>14</v>
      </c>
      <c r="B17" s="127">
        <f t="shared" si="3"/>
        <v>1959032126.4995487</v>
      </c>
      <c r="C17" s="138">
        <v>1293361385.8619635</v>
      </c>
      <c r="D17" s="132">
        <v>1151619410.7744186</v>
      </c>
      <c r="E17" s="139">
        <v>15884008968.853001</v>
      </c>
      <c r="F17" s="130">
        <f t="shared" si="2"/>
        <v>3870184408.7626481</v>
      </c>
      <c r="G17" s="19">
        <v>49499</v>
      </c>
      <c r="H17" s="11">
        <f t="shared" si="4"/>
        <v>78187.123149208026</v>
      </c>
      <c r="I17" s="13">
        <f t="shared" si="0"/>
        <v>1911152282.2630994</v>
      </c>
      <c r="J17" s="13">
        <f>SUM($I$3:I17)</f>
        <v>18228734964.426601</v>
      </c>
      <c r="K17" s="15">
        <f t="shared" si="1"/>
        <v>513222</v>
      </c>
    </row>
    <row r="18" spans="1:11" ht="15.6">
      <c r="A18" s="8">
        <v>15</v>
      </c>
      <c r="B18" s="127">
        <f t="shared" si="3"/>
        <v>2017803090.2945352</v>
      </c>
      <c r="C18" s="138">
        <v>1863368486.9357471</v>
      </c>
      <c r="D18" s="132">
        <v>1151389640.9990079</v>
      </c>
      <c r="E18" s="139">
        <v>15317044256.375299</v>
      </c>
      <c r="F18" s="130">
        <f t="shared" si="2"/>
        <v>4023060563.1713691</v>
      </c>
      <c r="G18" s="19">
        <v>51974</v>
      </c>
      <c r="H18" s="11">
        <f t="shared" si="4"/>
        <v>77405.251917715956</v>
      </c>
      <c r="I18" s="13">
        <f t="shared" si="0"/>
        <v>2005257472.8768339</v>
      </c>
      <c r="J18" s="13">
        <f>SUM($I$3:I18)</f>
        <v>20233992437.303436</v>
      </c>
      <c r="K18" s="15">
        <f t="shared" si="1"/>
        <v>565196</v>
      </c>
    </row>
    <row r="19" spans="1:11" ht="15.6">
      <c r="A19" s="8">
        <v>16</v>
      </c>
      <c r="B19" s="127">
        <f t="shared" si="3"/>
        <v>2078337183.003371</v>
      </c>
      <c r="C19" s="138">
        <v>1240368416.8081133</v>
      </c>
      <c r="D19" s="132">
        <v>968214895.89289498</v>
      </c>
      <c r="E19" s="139">
        <v>18365466706.850399</v>
      </c>
      <c r="F19" s="130">
        <f t="shared" si="2"/>
        <v>4181917813.5770583</v>
      </c>
      <c r="G19" s="19">
        <v>54572</v>
      </c>
      <c r="H19" s="11">
        <f t="shared" si="4"/>
        <v>76631.199398538782</v>
      </c>
      <c r="I19" s="13">
        <f t="shared" si="0"/>
        <v>2103580630.5736873</v>
      </c>
      <c r="J19" s="13">
        <f>SUM($I$3:I19)</f>
        <v>22337573067.877125</v>
      </c>
      <c r="K19" s="15">
        <f t="shared" si="1"/>
        <v>619768</v>
      </c>
    </row>
    <row r="20" spans="1:11" ht="15.6">
      <c r="A20" s="8">
        <v>17</v>
      </c>
      <c r="B20" s="127">
        <f t="shared" si="3"/>
        <v>2140687298.4934721</v>
      </c>
      <c r="C20" s="138">
        <v>2109966273.0452282</v>
      </c>
      <c r="D20" s="132">
        <v>1009676279.0546308</v>
      </c>
      <c r="E20" s="139">
        <v>16946877413.0525</v>
      </c>
      <c r="F20" s="130">
        <f t="shared" si="2"/>
        <v>4347133913.1683149</v>
      </c>
      <c r="G20" s="19">
        <v>57301</v>
      </c>
      <c r="H20" s="11">
        <f t="shared" si="4"/>
        <v>75864.887404553403</v>
      </c>
      <c r="I20" s="13">
        <f t="shared" si="0"/>
        <v>2206446614.6748428</v>
      </c>
      <c r="J20" s="13">
        <f>SUM($I$3:I20)</f>
        <v>24544019682.551968</v>
      </c>
      <c r="K20" s="15">
        <f t="shared" si="1"/>
        <v>677069</v>
      </c>
    </row>
    <row r="21" spans="1:11" ht="15.6">
      <c r="A21" s="8">
        <v>18</v>
      </c>
      <c r="B21" s="127">
        <f t="shared" si="3"/>
        <v>2204907917.448276</v>
      </c>
      <c r="C21" s="138">
        <v>1922347232.5696514</v>
      </c>
      <c r="D21" s="132">
        <v>1080266138.4993258</v>
      </c>
      <c r="E21" s="139">
        <v>16199813974.108999</v>
      </c>
      <c r="F21" s="130">
        <f t="shared" si="2"/>
        <v>4518841947.4265366</v>
      </c>
      <c r="G21" s="19">
        <v>60166</v>
      </c>
      <c r="H21" s="11">
        <f t="shared" si="4"/>
        <v>75106.238530507864</v>
      </c>
      <c r="I21" s="13">
        <f t="shared" si="0"/>
        <v>2313934029.9782605</v>
      </c>
      <c r="J21" s="13">
        <f>SUM($I$3:I21)</f>
        <v>26857953712.530228</v>
      </c>
      <c r="K21" s="15">
        <f t="shared" si="1"/>
        <v>737235</v>
      </c>
    </row>
    <row r="22" spans="1:11" ht="15.6">
      <c r="A22" s="8">
        <v>19</v>
      </c>
      <c r="B22" s="127">
        <f t="shared" si="3"/>
        <v>2271055154.9717245</v>
      </c>
      <c r="C22" s="138">
        <v>1749445789.9366364</v>
      </c>
      <c r="D22" s="132">
        <v>912896053.46205735</v>
      </c>
      <c r="E22" s="139">
        <v>18588867811.630699</v>
      </c>
      <c r="F22" s="130">
        <f t="shared" si="2"/>
        <v>4697313897.79704</v>
      </c>
      <c r="G22" s="19">
        <v>63174</v>
      </c>
      <c r="H22" s="11">
        <f t="shared" si="4"/>
        <v>74355.176145202771</v>
      </c>
      <c r="I22" s="13">
        <f t="shared" si="0"/>
        <v>2426258742.8253155</v>
      </c>
      <c r="J22" s="13">
        <f>SUM($I$3:I22)</f>
        <v>29284212455.355545</v>
      </c>
      <c r="K22" s="15">
        <f t="shared" si="1"/>
        <v>800409</v>
      </c>
    </row>
    <row r="23" spans="1:11" ht="15.6">
      <c r="A23" s="8">
        <v>20</v>
      </c>
      <c r="B23" s="127">
        <f t="shared" si="3"/>
        <v>2339186809.6208763</v>
      </c>
      <c r="C23" s="138">
        <v>1655811120.3618319</v>
      </c>
      <c r="D23" s="132">
        <v>994586745.84875655</v>
      </c>
      <c r="E23" s="139">
        <v>17600833534.615799</v>
      </c>
      <c r="F23" s="130">
        <f t="shared" si="2"/>
        <v>4882879880.2473392</v>
      </c>
      <c r="G23" s="19">
        <v>66333</v>
      </c>
      <c r="H23" s="11">
        <f t="shared" si="4"/>
        <v>73611.624383750765</v>
      </c>
      <c r="I23" s="13">
        <f t="shared" si="0"/>
        <v>2543693070.6264629</v>
      </c>
      <c r="J23" s="13">
        <f>SUM($I$3:I23)</f>
        <v>31827905525.98201</v>
      </c>
      <c r="K23" s="15">
        <f t="shared" si="1"/>
        <v>866742</v>
      </c>
    </row>
    <row r="24" spans="1:11" ht="15.6">
      <c r="A24" s="23">
        <v>21</v>
      </c>
      <c r="B24" s="127">
        <f t="shared" si="3"/>
        <v>2409362413.909502</v>
      </c>
      <c r="C24" s="138">
        <v>1813286896.0223336</v>
      </c>
      <c r="D24" s="132">
        <v>918353746.46898293</v>
      </c>
      <c r="E24" s="139">
        <v>18452761226.172298</v>
      </c>
      <c r="F24" s="130">
        <v>5688128616</v>
      </c>
      <c r="G24" s="19">
        <v>69650</v>
      </c>
      <c r="H24" s="11">
        <f t="shared" si="4"/>
        <v>72875.508139913247</v>
      </c>
      <c r="I24" s="13">
        <f t="shared" si="0"/>
        <v>3278766202.090498</v>
      </c>
      <c r="J24" s="13">
        <f>SUM($I$3:I24)</f>
        <v>35106671728.07251</v>
      </c>
      <c r="K24" s="15">
        <f t="shared" si="1"/>
        <v>936392</v>
      </c>
    </row>
    <row r="25" spans="1:11" ht="15.6">
      <c r="A25" s="23">
        <v>22</v>
      </c>
      <c r="B25" s="127">
        <f t="shared" si="3"/>
        <v>2481643286.3267875</v>
      </c>
      <c r="C25" s="138">
        <v>1746507854.3288286</v>
      </c>
      <c r="D25" s="132">
        <v>1090681492.9813516</v>
      </c>
      <c r="E25" s="139">
        <v>16237743326.3507</v>
      </c>
      <c r="F25" s="130">
        <f t="shared" ref="F25:F33" si="5">G25*H25</f>
        <v>5276236344.6752539</v>
      </c>
      <c r="G25" s="19">
        <v>73132</v>
      </c>
      <c r="H25" s="11">
        <f t="shared" si="4"/>
        <v>72146.753058514107</v>
      </c>
      <c r="I25" s="13">
        <f t="shared" si="0"/>
        <v>2794593058.3484664</v>
      </c>
      <c r="J25" s="13">
        <f>SUM($I$3:I25)</f>
        <v>37901264786.420975</v>
      </c>
      <c r="K25" s="15">
        <f t="shared" si="1"/>
        <v>1009524</v>
      </c>
    </row>
    <row r="26" spans="1:11" ht="15.6">
      <c r="A26" s="23">
        <v>23</v>
      </c>
      <c r="B26" s="127">
        <f t="shared" si="3"/>
        <v>2556092584.9165912</v>
      </c>
      <c r="C26" s="138">
        <v>1533396930.8507993</v>
      </c>
      <c r="D26" s="132">
        <v>1051268183.9738789</v>
      </c>
      <c r="E26" s="139">
        <v>16972727075.118601</v>
      </c>
      <c r="F26" s="130">
        <f t="shared" si="5"/>
        <v>5484676250.4041386</v>
      </c>
      <c r="G26" s="19">
        <v>76789</v>
      </c>
      <c r="H26" s="11">
        <f t="shared" si="4"/>
        <v>71425.28552792898</v>
      </c>
      <c r="I26" s="13">
        <f t="shared" si="0"/>
        <v>2928583665.4875474</v>
      </c>
      <c r="J26" s="13">
        <f>SUM($I$3:I26)</f>
        <v>40829848451.908524</v>
      </c>
      <c r="K26" s="15">
        <f t="shared" si="1"/>
        <v>1086313</v>
      </c>
    </row>
    <row r="27" spans="1:11" ht="15.6">
      <c r="A27" s="23">
        <v>24</v>
      </c>
      <c r="B27" s="127">
        <f t="shared" si="3"/>
        <v>2632775362.4640884</v>
      </c>
      <c r="C27" s="138">
        <v>1214826092.8323619</v>
      </c>
      <c r="D27" s="132">
        <v>869690488.72282219</v>
      </c>
      <c r="E27" s="139">
        <v>19695573707.699699</v>
      </c>
      <c r="F27" s="130">
        <f t="shared" si="5"/>
        <v>5701289142.3303976</v>
      </c>
      <c r="G27" s="19">
        <v>80628</v>
      </c>
      <c r="H27" s="11">
        <f t="shared" si="4"/>
        <v>70711.032672649671</v>
      </c>
      <c r="I27" s="13">
        <f t="shared" si="0"/>
        <v>3068513779.8663092</v>
      </c>
      <c r="J27" s="13">
        <f>SUM($I$3:I27)</f>
        <v>43898362231.774834</v>
      </c>
      <c r="K27" s="15">
        <f t="shared" si="1"/>
        <v>1166941</v>
      </c>
    </row>
    <row r="28" spans="1:11" ht="15.6">
      <c r="A28" s="23">
        <v>25</v>
      </c>
      <c r="B28" s="127">
        <f t="shared" si="3"/>
        <v>2711758623.3380113</v>
      </c>
      <c r="C28" s="138">
        <v>1767100369.4414306</v>
      </c>
      <c r="D28" s="132">
        <v>1118882421.3031375</v>
      </c>
      <c r="E28" s="139">
        <v>15843741460.191401</v>
      </c>
      <c r="F28" s="130">
        <f t="shared" si="5"/>
        <v>5926462061.8835096</v>
      </c>
      <c r="G28" s="19">
        <v>84659</v>
      </c>
      <c r="H28" s="11">
        <f t="shared" si="4"/>
        <v>70003.922345923173</v>
      </c>
      <c r="I28" s="13">
        <f t="shared" si="0"/>
        <v>3214703438.5454984</v>
      </c>
      <c r="J28" s="13">
        <f>SUM($I$3:I28)</f>
        <v>47113065670.320335</v>
      </c>
      <c r="K28" s="15">
        <f t="shared" si="1"/>
        <v>1251600</v>
      </c>
    </row>
    <row r="29" spans="1:11" ht="15.6">
      <c r="A29" s="23">
        <v>26</v>
      </c>
      <c r="B29" s="127">
        <f t="shared" si="3"/>
        <v>2793111382.0381517</v>
      </c>
      <c r="C29" s="138">
        <v>1759704333.1154547</v>
      </c>
      <c r="D29" s="132">
        <v>1204918948.2581718</v>
      </c>
      <c r="E29" s="139">
        <v>14711925222.012899</v>
      </c>
      <c r="F29" s="130">
        <f t="shared" si="5"/>
        <v>6160560778.5220652</v>
      </c>
      <c r="G29" s="19">
        <v>88892</v>
      </c>
      <c r="H29" s="11">
        <f t="shared" si="4"/>
        <v>69303.883122463943</v>
      </c>
      <c r="I29" s="13">
        <f t="shared" si="0"/>
        <v>3367449396.4839134</v>
      </c>
      <c r="J29" s="13">
        <f>SUM($I$3:I29)</f>
        <v>50480515066.804245</v>
      </c>
      <c r="K29" s="15">
        <f t="shared" si="1"/>
        <v>1340492</v>
      </c>
    </row>
    <row r="30" spans="1:11" ht="15.6">
      <c r="A30" s="23">
        <v>27</v>
      </c>
      <c r="B30" s="127">
        <f t="shared" si="3"/>
        <v>2876904723.4992962</v>
      </c>
      <c r="C30" s="138">
        <v>1346715131.5011995</v>
      </c>
      <c r="D30" s="132">
        <v>965799984.55399668</v>
      </c>
      <c r="E30" s="139">
        <v>18291095906.765598</v>
      </c>
      <c r="F30" s="130">
        <f t="shared" si="5"/>
        <v>6403930373.6114035</v>
      </c>
      <c r="G30" s="19">
        <v>93337</v>
      </c>
      <c r="H30" s="11">
        <f t="shared" si="4"/>
        <v>68610.844291239307</v>
      </c>
      <c r="I30" s="13">
        <f t="shared" si="0"/>
        <v>3527025650.1121073</v>
      </c>
      <c r="J30" s="13">
        <f>SUM($I$3:I30)</f>
        <v>54007540716.916351</v>
      </c>
      <c r="K30" s="15">
        <f t="shared" si="1"/>
        <v>1433829</v>
      </c>
    </row>
    <row r="31" spans="1:11" ht="15.6">
      <c r="A31" s="23">
        <v>28</v>
      </c>
      <c r="B31" s="127">
        <f t="shared" si="3"/>
        <v>2963211865.2042751</v>
      </c>
      <c r="C31" s="138">
        <v>1638043992.0625141</v>
      </c>
      <c r="D31" s="132">
        <v>983113504.30691707</v>
      </c>
      <c r="E31" s="139">
        <v>17770518203.7015</v>
      </c>
      <c r="F31" s="130">
        <f t="shared" si="5"/>
        <v>6656895812.0794296</v>
      </c>
      <c r="G31" s="19">
        <v>98004</v>
      </c>
      <c r="H31" s="11">
        <f t="shared" si="4"/>
        <v>67924.735848326905</v>
      </c>
      <c r="I31" s="13">
        <f t="shared" si="0"/>
        <v>3693683946.8751545</v>
      </c>
      <c r="J31" s="13">
        <f>SUM($I$3:I31)</f>
        <v>57701224663.791504</v>
      </c>
      <c r="K31" s="15">
        <f t="shared" si="1"/>
        <v>1531833</v>
      </c>
    </row>
    <row r="32" spans="1:11" ht="15.6">
      <c r="A32" s="23">
        <v>29</v>
      </c>
      <c r="B32" s="127">
        <f t="shared" si="3"/>
        <v>3052108221.1604028</v>
      </c>
      <c r="C32" s="138">
        <v>2164583793.9085312</v>
      </c>
      <c r="D32" s="132">
        <v>858534544.37120664</v>
      </c>
      <c r="E32" s="139">
        <v>18893532205.6478</v>
      </c>
      <c r="F32" s="130">
        <f t="shared" si="5"/>
        <v>6919829747.5588684</v>
      </c>
      <c r="G32" s="19">
        <v>102904</v>
      </c>
      <c r="H32" s="11">
        <f t="shared" si="4"/>
        <v>67245.488489843628</v>
      </c>
      <c r="I32" s="13">
        <f t="shared" si="0"/>
        <v>3867721526.3984656</v>
      </c>
      <c r="J32" s="13">
        <f>SUM($I$3:I32)</f>
        <v>61568946190.189972</v>
      </c>
      <c r="K32" s="15">
        <f t="shared" si="1"/>
        <v>1634737</v>
      </c>
    </row>
    <row r="33" spans="1:11" ht="16.2" thickBot="1">
      <c r="A33" s="23">
        <v>30</v>
      </c>
      <c r="B33" s="127">
        <f t="shared" si="3"/>
        <v>3143671467.7952151</v>
      </c>
      <c r="C33" s="140">
        <v>1564698215.0281515</v>
      </c>
      <c r="D33" s="141">
        <v>1295151020.9995654</v>
      </c>
      <c r="E33" s="142">
        <v>13712165716.021799</v>
      </c>
      <c r="F33" s="130">
        <f t="shared" si="5"/>
        <v>7193149707.9807243</v>
      </c>
      <c r="G33" s="19">
        <v>108049</v>
      </c>
      <c r="H33" s="11">
        <f t="shared" si="4"/>
        <v>66573.033604945202</v>
      </c>
      <c r="I33" s="13">
        <f t="shared" si="0"/>
        <v>4049478240.1855092</v>
      </c>
      <c r="J33" s="13">
        <f>SUM($I$3:I33)</f>
        <v>65618424430.375481</v>
      </c>
      <c r="K33" s="15">
        <f t="shared" si="1"/>
        <v>1742786</v>
      </c>
    </row>
    <row r="34" spans="1:11" ht="15.75" customHeight="1">
      <c r="F34" s="24" t="s">
        <v>28</v>
      </c>
      <c r="G34" s="25">
        <f t="array" ref="G34">NPV(0.074,I4:I23)+I3</f>
        <v>13712165716.021801</v>
      </c>
    </row>
    <row r="35" spans="1:11" ht="15.75" customHeight="1">
      <c r="F35" s="24" t="s">
        <v>29</v>
      </c>
      <c r="G35" s="24">
        <v>5</v>
      </c>
    </row>
    <row r="36" spans="1:11" ht="13.2">
      <c r="F36" s="24" t="s">
        <v>30</v>
      </c>
      <c r="G36" s="26">
        <f>IRR(I3:I23,0.2)</f>
        <v>0.68189014981138185</v>
      </c>
    </row>
    <row r="42" spans="1:11" ht="15.75" customHeight="1" thickBot="1"/>
    <row r="43" spans="1:11" ht="15.75" customHeight="1" thickBot="1">
      <c r="A43" s="59"/>
      <c r="B43" s="60" t="s">
        <v>64</v>
      </c>
      <c r="C43" s="60" t="s">
        <v>65</v>
      </c>
      <c r="D43" s="60" t="s">
        <v>66</v>
      </c>
      <c r="E43" s="60" t="s">
        <v>35</v>
      </c>
      <c r="F43" s="60" t="s">
        <v>67</v>
      </c>
    </row>
    <row r="44" spans="1:11" ht="15.75" customHeight="1" thickBot="1">
      <c r="A44" s="61"/>
      <c r="B44" s="62"/>
      <c r="C44" s="62"/>
      <c r="D44" s="62"/>
      <c r="E44" s="62"/>
      <c r="F44" s="62"/>
    </row>
    <row r="45" spans="1:11" ht="15.75" customHeight="1" thickBot="1">
      <c r="A45" s="61" t="s">
        <v>33</v>
      </c>
      <c r="B45" s="63">
        <v>1228596462</v>
      </c>
      <c r="C45" s="63">
        <v>1665430760</v>
      </c>
      <c r="D45" s="64">
        <v>2129567201</v>
      </c>
      <c r="E45" s="63">
        <v>1638128616</v>
      </c>
      <c r="F45" s="63">
        <v>368326054.30000001</v>
      </c>
    </row>
    <row r="46" spans="1:11" ht="15.75" customHeight="1" thickBot="1">
      <c r="A46" s="61" t="s">
        <v>34</v>
      </c>
      <c r="B46" s="63">
        <v>796403538</v>
      </c>
      <c r="C46" s="63">
        <v>1079569240</v>
      </c>
      <c r="D46" s="64">
        <v>1380432799</v>
      </c>
      <c r="E46" s="63">
        <v>1061871384</v>
      </c>
      <c r="F46" s="63">
        <v>238757136</v>
      </c>
    </row>
    <row r="47" spans="1:11" ht="15.75" customHeight="1" thickBot="1">
      <c r="A47" s="65" t="s">
        <v>68</v>
      </c>
      <c r="B47" s="66">
        <v>67500</v>
      </c>
      <c r="C47" s="63">
        <v>91500</v>
      </c>
      <c r="D47" s="67">
        <v>117000</v>
      </c>
      <c r="E47" s="66">
        <v>90000</v>
      </c>
      <c r="F47" s="63">
        <v>20236.11</v>
      </c>
    </row>
    <row r="48" spans="1:11" ht="15.75" customHeight="1" thickBot="1">
      <c r="A48" s="61" t="s">
        <v>69</v>
      </c>
      <c r="B48" s="63">
        <v>33288.75</v>
      </c>
      <c r="C48" s="63">
        <v>45124.75</v>
      </c>
      <c r="D48" s="64">
        <v>57700.5</v>
      </c>
      <c r="E48" s="63">
        <v>44385</v>
      </c>
      <c r="F48" s="63">
        <v>9979.7731120000008</v>
      </c>
    </row>
    <row r="49" spans="1:6" ht="15.75" customHeight="1" thickBot="1">
      <c r="A49" s="61" t="s">
        <v>70</v>
      </c>
      <c r="B49" s="63">
        <v>2246990625</v>
      </c>
      <c r="C49" s="63">
        <v>3811561875</v>
      </c>
      <c r="D49" s="64">
        <v>5193045000</v>
      </c>
      <c r="E49" s="63">
        <v>3994650000</v>
      </c>
      <c r="F49" s="63">
        <v>1209669388</v>
      </c>
    </row>
    <row r="50" spans="1:6" ht="15.75" customHeight="1" thickBot="1">
      <c r="A50" s="61" t="s">
        <v>42</v>
      </c>
      <c r="B50" s="62"/>
      <c r="C50" s="62"/>
      <c r="D50" s="62"/>
      <c r="E50" s="62"/>
      <c r="F50" s="62"/>
    </row>
    <row r="51" spans="1:6" ht="15.75" customHeight="1" thickBot="1">
      <c r="A51" s="61" t="s">
        <v>45</v>
      </c>
      <c r="B51" s="68">
        <v>5.5500000000000001E-2</v>
      </c>
      <c r="C51" s="63">
        <v>3.25</v>
      </c>
      <c r="D51" s="64">
        <v>9.6199999999999992</v>
      </c>
      <c r="E51" s="68">
        <v>7.3999999999999996E-2</v>
      </c>
      <c r="F51" s="63">
        <v>4.5</v>
      </c>
    </row>
    <row r="52" spans="1:6" ht="15.75" customHeight="1" thickBot="1">
      <c r="A52" s="61" t="s">
        <v>48</v>
      </c>
      <c r="B52" s="68">
        <v>3.7499999999999999E-2</v>
      </c>
      <c r="C52" s="63">
        <v>1.3225</v>
      </c>
      <c r="D52" s="64">
        <v>3.9</v>
      </c>
      <c r="E52" s="68">
        <v>0.03</v>
      </c>
      <c r="F52" s="63">
        <v>1.82</v>
      </c>
    </row>
    <row r="53" spans="1:6" ht="15.75" customHeight="1" thickBot="1">
      <c r="A53" s="61"/>
      <c r="B53" s="62"/>
      <c r="C53" s="62"/>
      <c r="D53" s="62"/>
      <c r="E53" s="62"/>
      <c r="F53" s="6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alculator">
          <controlPr defaultSize="0" autoLine="0" autoPict="0" r:id="rId5">
            <anchor moveWithCells="1">
              <from>
                <xdr:col>1</xdr:col>
                <xdr:colOff>518160</xdr:colOff>
                <xdr:row>34</xdr:row>
                <xdr:rowOff>60960</xdr:rowOff>
              </from>
              <to>
                <xdr:col>1</xdr:col>
                <xdr:colOff>2727960</xdr:colOff>
                <xdr:row>40</xdr:row>
                <xdr:rowOff>7620</xdr:rowOff>
              </to>
            </anchor>
          </controlPr>
        </control>
      </mc:Choice>
      <mc:Fallback>
        <control shapeId="6145" r:id="rId4" name="Calculato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N40"/>
  <sheetViews>
    <sheetView topLeftCell="A22" workbookViewId="0">
      <selection activeCell="M32" sqref="M32"/>
    </sheetView>
  </sheetViews>
  <sheetFormatPr defaultColWidth="14.44140625" defaultRowHeight="15.75" customHeight="1"/>
  <cols>
    <col min="2" max="2" width="18" customWidth="1"/>
    <col min="3" max="3" width="16.44140625" customWidth="1"/>
    <col min="4" max="4" width="20.44140625" customWidth="1"/>
    <col min="5" max="5" width="24.88671875" customWidth="1"/>
    <col min="6" max="6" width="16.5546875" bestFit="1" customWidth="1"/>
    <col min="7" max="7" width="17" customWidth="1"/>
    <col min="8" max="8" width="21" customWidth="1"/>
    <col min="9" max="9" width="17.44140625" bestFit="1" customWidth="1"/>
    <col min="10" max="10" width="42" customWidth="1"/>
    <col min="11" max="11" width="16.44140625" customWidth="1"/>
    <col min="13" max="13" width="16.5546875" bestFit="1" customWidth="1"/>
    <col min="14" max="14" width="16.5546875" customWidth="1"/>
  </cols>
  <sheetData>
    <row r="1" spans="1:14" ht="15.6">
      <c r="A1" s="33" t="s">
        <v>89</v>
      </c>
      <c r="B1" s="33"/>
      <c r="C1" s="33"/>
      <c r="D1" s="33"/>
      <c r="E1" s="33"/>
      <c r="F1" s="33"/>
      <c r="G1" s="33"/>
      <c r="H1" s="33"/>
      <c r="I1" s="33"/>
      <c r="J1" s="33"/>
      <c r="K1" s="69"/>
      <c r="L1" s="69"/>
      <c r="M1" s="69"/>
    </row>
    <row r="2" spans="1:14" ht="15.6">
      <c r="A2" s="110" t="s">
        <v>1</v>
      </c>
      <c r="B2" s="110" t="s">
        <v>2</v>
      </c>
      <c r="C2" s="110" t="s">
        <v>33</v>
      </c>
      <c r="D2" s="110" t="s">
        <v>34</v>
      </c>
      <c r="E2" s="110" t="s">
        <v>88</v>
      </c>
      <c r="F2" s="110" t="s">
        <v>3</v>
      </c>
      <c r="G2" s="110" t="s">
        <v>4</v>
      </c>
      <c r="H2" s="110" t="s">
        <v>5</v>
      </c>
      <c r="I2" s="110" t="s">
        <v>6</v>
      </c>
      <c r="J2" s="110" t="s">
        <v>7</v>
      </c>
      <c r="K2" s="84" t="s">
        <v>8</v>
      </c>
      <c r="L2" s="5" t="s">
        <v>11</v>
      </c>
      <c r="M2" s="69"/>
    </row>
    <row r="3" spans="1:14" ht="15.6">
      <c r="A3" s="110">
        <v>0</v>
      </c>
      <c r="B3" s="111">
        <v>604136393.39999998</v>
      </c>
      <c r="C3" s="111"/>
      <c r="D3" s="111"/>
      <c r="E3" s="111"/>
      <c r="F3" s="110"/>
      <c r="G3" s="110"/>
      <c r="H3" s="110"/>
      <c r="I3" s="111">
        <f t="shared" ref="I3:I33" si="0">F3-B3</f>
        <v>-604136393.39999998</v>
      </c>
      <c r="J3" s="111">
        <f>SUM(I$3:I3)</f>
        <v>-604136393.39999998</v>
      </c>
      <c r="K3" s="112">
        <f t="shared" ref="K3:K33" si="1">SUM(G$3:G3)</f>
        <v>0</v>
      </c>
      <c r="L3" s="5" t="s">
        <v>16</v>
      </c>
      <c r="M3" s="12">
        <v>0.03</v>
      </c>
    </row>
    <row r="4" spans="1:14" ht="15.6">
      <c r="A4" s="110">
        <v>1</v>
      </c>
      <c r="B4" s="111">
        <v>51864.581700000002</v>
      </c>
      <c r="C4" s="111">
        <v>604399027.70000005</v>
      </c>
      <c r="D4" s="111">
        <v>43662.427609999999</v>
      </c>
      <c r="E4" s="113">
        <v>3256451328.1870999</v>
      </c>
      <c r="F4" s="111">
        <f t="shared" ref="F4:F33" si="2">G4*H4</f>
        <v>650280000</v>
      </c>
      <c r="G4" s="114">
        <v>21676000</v>
      </c>
      <c r="H4" s="115">
        <v>30</v>
      </c>
      <c r="I4" s="111">
        <f t="shared" si="0"/>
        <v>650228135.41830003</v>
      </c>
      <c r="J4" s="111">
        <f t="shared" ref="J4:J33" si="3">SUM($I$3:I4)</f>
        <v>46091742.018300056</v>
      </c>
      <c r="K4" s="112">
        <f t="shared" si="1"/>
        <v>21676000</v>
      </c>
      <c r="L4" s="5" t="s">
        <v>17</v>
      </c>
      <c r="M4" s="12">
        <v>-0.03</v>
      </c>
      <c r="N4" s="5"/>
    </row>
    <row r="5" spans="1:14" ht="15.6">
      <c r="A5" s="110">
        <v>2</v>
      </c>
      <c r="B5" s="111">
        <f>$B$4*(1+$M$3)^A5</f>
        <v>55023.134725529999</v>
      </c>
      <c r="C5" s="111">
        <v>604923396.5</v>
      </c>
      <c r="D5" s="111">
        <v>42629.77968</v>
      </c>
      <c r="E5" s="113">
        <v>3255011403.4029002</v>
      </c>
      <c r="F5" s="111">
        <f t="shared" si="2"/>
        <v>602098052.78207994</v>
      </c>
      <c r="G5" s="110">
        <v>20394949</v>
      </c>
      <c r="H5" s="115">
        <f>$H$4*(1-0.008)^A5</f>
        <v>29.521919999999998</v>
      </c>
      <c r="I5" s="111">
        <f t="shared" si="0"/>
        <v>602043029.64735436</v>
      </c>
      <c r="J5" s="111">
        <f t="shared" si="3"/>
        <v>648134771.66565442</v>
      </c>
      <c r="K5" s="112">
        <f t="shared" si="1"/>
        <v>42070949</v>
      </c>
      <c r="L5" s="5"/>
      <c r="M5" s="5"/>
      <c r="N5" s="5"/>
    </row>
    <row r="6" spans="1:14" ht="15.6">
      <c r="A6" s="110">
        <v>3</v>
      </c>
      <c r="B6" s="111">
        <f t="shared" ref="B6:B33" si="4">$B$4*(1+$M$3)^A6</f>
        <v>56673.828767295905</v>
      </c>
      <c r="C6" s="111">
        <v>603536291.60000002</v>
      </c>
      <c r="D6" s="111">
        <v>43982.282059999998</v>
      </c>
      <c r="E6" s="113">
        <v>3258838676.086</v>
      </c>
      <c r="F6" s="111">
        <f t="shared" si="2"/>
        <v>575865664.40699995</v>
      </c>
      <c r="G6" s="110">
        <v>19783100</v>
      </c>
      <c r="H6" s="115">
        <f t="shared" ref="H6:H33" si="5">$H$4*(1-0.01)^A6</f>
        <v>29.108969999999996</v>
      </c>
      <c r="I6" s="111">
        <f t="shared" si="0"/>
        <v>575808990.57823265</v>
      </c>
      <c r="J6" s="111">
        <f t="shared" si="3"/>
        <v>1223943762.2438869</v>
      </c>
      <c r="K6" s="112">
        <f t="shared" si="1"/>
        <v>61854049</v>
      </c>
      <c r="L6" s="5" t="s">
        <v>22</v>
      </c>
      <c r="M6" s="69"/>
    </row>
    <row r="7" spans="1:14" ht="15.6">
      <c r="A7" s="110">
        <v>4</v>
      </c>
      <c r="B7" s="111">
        <f t="shared" si="4"/>
        <v>58374.043630314773</v>
      </c>
      <c r="C7" s="111">
        <v>604579468.5</v>
      </c>
      <c r="D7" s="111">
        <v>46632.759149999998</v>
      </c>
      <c r="E7" s="113">
        <v>3255911799.5935001</v>
      </c>
      <c r="F7" s="111">
        <f t="shared" si="2"/>
        <v>553003797.53004205</v>
      </c>
      <c r="G7" s="110">
        <v>19189607</v>
      </c>
      <c r="H7" s="115">
        <f t="shared" si="5"/>
        <v>28.817880299999999</v>
      </c>
      <c r="I7" s="111">
        <f t="shared" si="0"/>
        <v>552945423.48641169</v>
      </c>
      <c r="J7" s="111">
        <f t="shared" si="3"/>
        <v>1776889185.7302985</v>
      </c>
      <c r="K7" s="112">
        <f t="shared" si="1"/>
        <v>81043656</v>
      </c>
      <c r="L7" s="5" t="s">
        <v>24</v>
      </c>
      <c r="M7" s="69"/>
    </row>
    <row r="8" spans="1:14" ht="15.6">
      <c r="A8" s="110">
        <v>5</v>
      </c>
      <c r="B8" s="111">
        <f>B3+($B$4*(1+$M$3)^A8)</f>
        <v>604196518.66493917</v>
      </c>
      <c r="C8" s="111">
        <v>604695886.5</v>
      </c>
      <c r="D8" s="111">
        <v>41491.516029999999</v>
      </c>
      <c r="E8" s="113">
        <v>3255657153.6433001</v>
      </c>
      <c r="F8" s="111">
        <f t="shared" si="2"/>
        <v>531049552.75933671</v>
      </c>
      <c r="G8" s="110">
        <v>18613919</v>
      </c>
      <c r="H8" s="115">
        <f t="shared" si="5"/>
        <v>28.529701496999998</v>
      </c>
      <c r="I8" s="111">
        <f t="shared" si="0"/>
        <v>-73146965.905602455</v>
      </c>
      <c r="J8" s="111">
        <f t="shared" si="3"/>
        <v>1703742219.8246961</v>
      </c>
      <c r="K8" s="112">
        <f t="shared" si="1"/>
        <v>99657575</v>
      </c>
      <c r="L8" s="5" t="s">
        <v>25</v>
      </c>
      <c r="M8" s="18">
        <v>585252000</v>
      </c>
    </row>
    <row r="9" spans="1:14" ht="15.6">
      <c r="A9" s="110">
        <v>6</v>
      </c>
      <c r="B9" s="111">
        <f t="shared" si="4"/>
        <v>61929.022887400948</v>
      </c>
      <c r="C9" s="111">
        <v>604517532.79999995</v>
      </c>
      <c r="D9" s="111">
        <v>48704.084049999998</v>
      </c>
      <c r="E9" s="113">
        <v>3256056064.5229001</v>
      </c>
      <c r="F9" s="111">
        <f t="shared" si="2"/>
        <v>509966901.61410153</v>
      </c>
      <c r="G9" s="110">
        <v>18055502</v>
      </c>
      <c r="H9" s="115">
        <f t="shared" si="5"/>
        <v>28.244404482029996</v>
      </c>
      <c r="I9" s="111">
        <f t="shared" si="0"/>
        <v>509904972.59121412</v>
      </c>
      <c r="J9" s="111">
        <f t="shared" si="3"/>
        <v>2213647192.4159102</v>
      </c>
      <c r="K9" s="112">
        <f t="shared" si="1"/>
        <v>117713077</v>
      </c>
      <c r="L9" s="69"/>
      <c r="M9" s="69"/>
    </row>
    <row r="10" spans="1:14" ht="15.6">
      <c r="A10" s="110">
        <v>7</v>
      </c>
      <c r="B10" s="111">
        <f t="shared" si="4"/>
        <v>63786.893574022979</v>
      </c>
      <c r="C10" s="111">
        <v>604707842.39999998</v>
      </c>
      <c r="D10" s="111">
        <v>67107.715270000001</v>
      </c>
      <c r="E10" s="113">
        <v>3255284825.9235001</v>
      </c>
      <c r="F10" s="111">
        <f t="shared" si="2"/>
        <v>489721217.29773939</v>
      </c>
      <c r="G10" s="110">
        <v>17513837</v>
      </c>
      <c r="H10" s="115">
        <f t="shared" si="5"/>
        <v>27.961960437209697</v>
      </c>
      <c r="I10" s="111">
        <f t="shared" si="0"/>
        <v>489657430.40416539</v>
      </c>
      <c r="J10" s="111">
        <f t="shared" si="3"/>
        <v>2703304622.8200755</v>
      </c>
      <c r="K10" s="112">
        <f t="shared" si="1"/>
        <v>135226914</v>
      </c>
      <c r="L10" s="69"/>
      <c r="M10" s="69"/>
    </row>
    <row r="11" spans="1:14" ht="15.6">
      <c r="A11" s="110">
        <v>8</v>
      </c>
      <c r="B11" s="111">
        <f t="shared" si="4"/>
        <v>65700.500381243663</v>
      </c>
      <c r="C11" s="111">
        <v>604505566</v>
      </c>
      <c r="D11" s="111">
        <v>66626.962379999997</v>
      </c>
      <c r="E11" s="113">
        <v>3255851920.2042999</v>
      </c>
      <c r="F11" s="111">
        <f t="shared" si="2"/>
        <v>470279288.01607662</v>
      </c>
      <c r="G11" s="110">
        <v>16988422</v>
      </c>
      <c r="H11" s="115">
        <f t="shared" si="5"/>
        <v>27.6823408328376</v>
      </c>
      <c r="I11" s="111">
        <f t="shared" si="0"/>
        <v>470213587.51569539</v>
      </c>
      <c r="J11" s="111">
        <f t="shared" si="3"/>
        <v>3173518210.3357711</v>
      </c>
      <c r="K11" s="112">
        <f t="shared" si="1"/>
        <v>152215336</v>
      </c>
      <c r="L11" s="69"/>
      <c r="M11" s="69"/>
    </row>
    <row r="12" spans="1:14" ht="15.6">
      <c r="A12" s="110">
        <v>9</v>
      </c>
      <c r="B12" s="111">
        <f t="shared" si="4"/>
        <v>67671.515392680973</v>
      </c>
      <c r="C12" s="111">
        <v>605354161.10000002</v>
      </c>
      <c r="D12" s="111">
        <v>57456.93075</v>
      </c>
      <c r="E12" s="113">
        <v>3253620957.9120998</v>
      </c>
      <c r="F12" s="111">
        <f t="shared" si="2"/>
        <v>451609190.96396238</v>
      </c>
      <c r="G12" s="110">
        <v>16478769</v>
      </c>
      <c r="H12" s="115">
        <f t="shared" si="5"/>
        <v>27.40551742450922</v>
      </c>
      <c r="I12" s="111">
        <f t="shared" si="0"/>
        <v>451541519.44856972</v>
      </c>
      <c r="J12" s="111">
        <f t="shared" si="3"/>
        <v>3625059729.7843409</v>
      </c>
      <c r="K12" s="112">
        <f t="shared" si="1"/>
        <v>168694105</v>
      </c>
      <c r="L12" s="69"/>
      <c r="M12" s="69"/>
    </row>
    <row r="13" spans="1:14" ht="15.6">
      <c r="A13" s="110">
        <v>10</v>
      </c>
      <c r="B13" s="111">
        <f>($B$4*(1+$M$3)^A13)+B3</f>
        <v>604206095.06085443</v>
      </c>
      <c r="C13" s="111">
        <v>605083445.39999998</v>
      </c>
      <c r="D13" s="111">
        <v>48174.385340000001</v>
      </c>
      <c r="E13" s="113">
        <v>3254494316.973</v>
      </c>
      <c r="F13" s="111">
        <f t="shared" si="2"/>
        <v>433680307.98189545</v>
      </c>
      <c r="G13" s="110">
        <v>15984406</v>
      </c>
      <c r="H13" s="115">
        <f t="shared" si="5"/>
        <v>27.131462250264128</v>
      </c>
      <c r="I13" s="111">
        <f t="shared" si="0"/>
        <v>-170525787.07895899</v>
      </c>
      <c r="J13" s="111">
        <f t="shared" si="3"/>
        <v>3454533942.7053819</v>
      </c>
      <c r="K13" s="112">
        <f t="shared" si="1"/>
        <v>184678511</v>
      </c>
      <c r="L13" s="69"/>
      <c r="M13" s="69"/>
    </row>
    <row r="14" spans="1:14" ht="15.6">
      <c r="A14" s="110">
        <v>11</v>
      </c>
      <c r="B14" s="111">
        <f t="shared" si="4"/>
        <v>71792.710680095246</v>
      </c>
      <c r="C14" s="111">
        <v>604899350.89999998</v>
      </c>
      <c r="D14" s="111">
        <v>54719.146110000001</v>
      </c>
      <c r="E14" s="113">
        <v>3254917984.3288999</v>
      </c>
      <c r="F14" s="111">
        <f t="shared" si="2"/>
        <v>416463204.58984077</v>
      </c>
      <c r="G14" s="110">
        <v>15504874</v>
      </c>
      <c r="H14" s="115">
        <f t="shared" si="5"/>
        <v>26.860147627761489</v>
      </c>
      <c r="I14" s="111">
        <f t="shared" si="0"/>
        <v>416391411.8791607</v>
      </c>
      <c r="J14" s="111">
        <f t="shared" si="3"/>
        <v>3870925354.5845428</v>
      </c>
      <c r="K14" s="112">
        <f t="shared" si="1"/>
        <v>200183385</v>
      </c>
      <c r="L14" s="69"/>
      <c r="M14" s="69"/>
    </row>
    <row r="15" spans="1:14" ht="15.6">
      <c r="A15" s="110">
        <v>12</v>
      </c>
      <c r="B15" s="111">
        <f t="shared" si="4"/>
        <v>73946.492000498096</v>
      </c>
      <c r="C15" s="111">
        <v>605083494.5</v>
      </c>
      <c r="D15" s="111">
        <v>33406.836040000002</v>
      </c>
      <c r="E15" s="113">
        <v>3254689718.4334998</v>
      </c>
      <c r="F15" s="111">
        <f t="shared" si="2"/>
        <v>399929621.21776426</v>
      </c>
      <c r="G15" s="110">
        <v>15039728</v>
      </c>
      <c r="H15" s="115">
        <f t="shared" si="5"/>
        <v>26.591546151483875</v>
      </c>
      <c r="I15" s="111">
        <f t="shared" si="0"/>
        <v>399855674.72576374</v>
      </c>
      <c r="J15" s="111">
        <f t="shared" si="3"/>
        <v>4270781029.3103065</v>
      </c>
      <c r="K15" s="112">
        <f t="shared" si="1"/>
        <v>215223113</v>
      </c>
      <c r="L15" s="69"/>
      <c r="M15" s="69"/>
    </row>
    <row r="16" spans="1:14" ht="15.6">
      <c r="A16" s="110">
        <v>13</v>
      </c>
      <c r="B16" s="111">
        <f t="shared" si="4"/>
        <v>76164.886760513036</v>
      </c>
      <c r="C16" s="111">
        <v>604711994.39999998</v>
      </c>
      <c r="D16" s="111">
        <v>37578.462440000003</v>
      </c>
      <c r="E16" s="113">
        <v>3255664313.9383001</v>
      </c>
      <c r="F16" s="111">
        <f t="shared" si="2"/>
        <v>384052411.04331803</v>
      </c>
      <c r="G16" s="110">
        <v>14588536</v>
      </c>
      <c r="H16" s="115">
        <f t="shared" si="5"/>
        <v>26.325630689969032</v>
      </c>
      <c r="I16" s="111">
        <f t="shared" si="0"/>
        <v>383976246.1565575</v>
      </c>
      <c r="J16" s="111">
        <f t="shared" si="3"/>
        <v>4654757275.4668636</v>
      </c>
      <c r="K16" s="112">
        <f t="shared" si="1"/>
        <v>229811649</v>
      </c>
      <c r="L16" s="69"/>
      <c r="M16" s="69"/>
    </row>
    <row r="17" spans="1:13" ht="15.6">
      <c r="A17" s="110">
        <v>14</v>
      </c>
      <c r="B17" s="111">
        <f t="shared" si="4"/>
        <v>78449.833363328435</v>
      </c>
      <c r="C17" s="111">
        <v>606298647.5</v>
      </c>
      <c r="D17" s="111">
        <v>37510.994420000003</v>
      </c>
      <c r="E17" s="113">
        <v>3251266860.2775998</v>
      </c>
      <c r="F17" s="111">
        <f t="shared" si="2"/>
        <v>368805532.40988833</v>
      </c>
      <c r="G17" s="110">
        <v>14150880</v>
      </c>
      <c r="H17" s="115">
        <f t="shared" si="5"/>
        <v>26.062374383069344</v>
      </c>
      <c r="I17" s="111">
        <f t="shared" si="0"/>
        <v>368727082.57652497</v>
      </c>
      <c r="J17" s="111">
        <f t="shared" si="3"/>
        <v>5023484358.0433884</v>
      </c>
      <c r="K17" s="112">
        <f t="shared" si="1"/>
        <v>243962529</v>
      </c>
      <c r="L17" s="69"/>
      <c r="M17" s="69"/>
    </row>
    <row r="18" spans="1:13" ht="15.6">
      <c r="A18" s="110">
        <v>15</v>
      </c>
      <c r="B18" s="111">
        <f>($B$4*(1+$M$3)^A18)+B3</f>
        <v>604217196.72836423</v>
      </c>
      <c r="C18" s="111">
        <v>603414479</v>
      </c>
      <c r="D18" s="111">
        <v>51769.113949999999</v>
      </c>
      <c r="E18" s="113">
        <v>3259073246.0386</v>
      </c>
      <c r="F18" s="111">
        <f t="shared" si="2"/>
        <v>354163937.29216534</v>
      </c>
      <c r="G18" s="110">
        <v>13726353</v>
      </c>
      <c r="H18" s="115">
        <f t="shared" si="5"/>
        <v>25.801750639238648</v>
      </c>
      <c r="I18" s="111">
        <f t="shared" si="0"/>
        <v>-250053259.43619889</v>
      </c>
      <c r="J18" s="111">
        <f t="shared" si="3"/>
        <v>4773431098.6071892</v>
      </c>
      <c r="K18" s="112">
        <f t="shared" si="1"/>
        <v>257688882</v>
      </c>
      <c r="L18" s="69"/>
      <c r="M18" s="69"/>
    </row>
    <row r="19" spans="1:13" ht="15.6">
      <c r="A19" s="110">
        <v>16</v>
      </c>
      <c r="B19" s="111">
        <f t="shared" si="4"/>
        <v>83227.428215155116</v>
      </c>
      <c r="C19" s="111">
        <v>604475386</v>
      </c>
      <c r="D19" s="111">
        <v>58093.829080000003</v>
      </c>
      <c r="E19" s="113">
        <v>3256048569.3930001</v>
      </c>
      <c r="F19" s="111">
        <f t="shared" si="2"/>
        <v>340103644.05246896</v>
      </c>
      <c r="G19" s="110">
        <v>13314563</v>
      </c>
      <c r="H19" s="115">
        <f t="shared" si="5"/>
        <v>25.543733132846263</v>
      </c>
      <c r="I19" s="111">
        <f t="shared" si="0"/>
        <v>340020416.62425381</v>
      </c>
      <c r="J19" s="111">
        <f t="shared" si="3"/>
        <v>5113451515.2314434</v>
      </c>
      <c r="K19" s="112">
        <f t="shared" si="1"/>
        <v>271003445</v>
      </c>
      <c r="L19" s="69"/>
      <c r="M19" s="69"/>
    </row>
    <row r="20" spans="1:13" ht="15.6">
      <c r="A20" s="110">
        <v>17</v>
      </c>
      <c r="B20" s="111">
        <f t="shared" si="4"/>
        <v>85724.251061609772</v>
      </c>
      <c r="C20" s="111">
        <v>605417157.60000002</v>
      </c>
      <c r="D20" s="111">
        <v>53173.533869999999</v>
      </c>
      <c r="E20" s="113">
        <v>3253503042.4598999</v>
      </c>
      <c r="F20" s="111">
        <f t="shared" si="2"/>
        <v>326601526.60187334</v>
      </c>
      <c r="G20" s="110">
        <v>12915126</v>
      </c>
      <c r="H20" s="115">
        <f t="shared" si="5"/>
        <v>25.288295801517798</v>
      </c>
      <c r="I20" s="111">
        <f t="shared" si="0"/>
        <v>326515802.35081172</v>
      </c>
      <c r="J20" s="111">
        <f t="shared" si="3"/>
        <v>5439967317.5822554</v>
      </c>
      <c r="K20" s="112">
        <f t="shared" si="1"/>
        <v>283918571</v>
      </c>
      <c r="L20" s="69"/>
      <c r="M20" s="69"/>
    </row>
    <row r="21" spans="1:13" ht="15.6">
      <c r="A21" s="110">
        <v>18</v>
      </c>
      <c r="B21" s="111">
        <f t="shared" si="4"/>
        <v>88295.978593458072</v>
      </c>
      <c r="C21" s="111">
        <v>604540701.29999995</v>
      </c>
      <c r="D21" s="111">
        <v>47899.632729999998</v>
      </c>
      <c r="E21" s="113">
        <v>3256002491.0934</v>
      </c>
      <c r="F21" s="111">
        <f t="shared" si="2"/>
        <v>313635440.48798817</v>
      </c>
      <c r="G21" s="110">
        <v>12527672</v>
      </c>
      <c r="H21" s="115">
        <f t="shared" si="5"/>
        <v>25.03541284350262</v>
      </c>
      <c r="I21" s="111">
        <f t="shared" si="0"/>
        <v>313547144.50939471</v>
      </c>
      <c r="J21" s="111">
        <f t="shared" si="3"/>
        <v>5753514462.09165</v>
      </c>
      <c r="K21" s="112">
        <f t="shared" si="1"/>
        <v>296446243</v>
      </c>
      <c r="L21" s="69"/>
      <c r="M21" s="69"/>
    </row>
    <row r="22" spans="1:13" ht="15.6">
      <c r="A22" s="110">
        <v>19</v>
      </c>
      <c r="B22" s="111">
        <f t="shared" si="4"/>
        <v>90944.857951261802</v>
      </c>
      <c r="C22" s="111">
        <v>604428341.70000005</v>
      </c>
      <c r="D22" s="111">
        <v>63279.27304</v>
      </c>
      <c r="E22" s="113">
        <v>3256110319.8597002</v>
      </c>
      <c r="F22" s="111">
        <f t="shared" si="2"/>
        <v>301184117.46622437</v>
      </c>
      <c r="G22" s="110">
        <v>12151842</v>
      </c>
      <c r="H22" s="115">
        <f t="shared" si="5"/>
        <v>24.785058715067592</v>
      </c>
      <c r="I22" s="111">
        <f t="shared" si="0"/>
        <v>301093172.60827309</v>
      </c>
      <c r="J22" s="111">
        <f t="shared" si="3"/>
        <v>6054607634.6999235</v>
      </c>
      <c r="K22" s="112">
        <f t="shared" si="1"/>
        <v>308598085</v>
      </c>
      <c r="L22" s="69"/>
      <c r="M22" s="69"/>
    </row>
    <row r="23" spans="1:13" ht="15.6">
      <c r="A23" s="110">
        <v>20</v>
      </c>
      <c r="B23" s="111">
        <f>B3+($B$4*(1+$M$3)^A23)</f>
        <v>604230066.60368979</v>
      </c>
      <c r="C23" s="111">
        <v>605917994.29999995</v>
      </c>
      <c r="D23" s="111">
        <v>56632.801390000001</v>
      </c>
      <c r="E23" s="113">
        <v>3252068873.2131</v>
      </c>
      <c r="F23" s="111">
        <f t="shared" si="2"/>
        <v>289227114.38248944</v>
      </c>
      <c r="G23" s="110">
        <v>11787287</v>
      </c>
      <c r="H23" s="115">
        <f t="shared" si="5"/>
        <v>24.537208127916919</v>
      </c>
      <c r="I23" s="111">
        <f t="shared" si="0"/>
        <v>-315002952.22120035</v>
      </c>
      <c r="J23" s="111">
        <f t="shared" si="3"/>
        <v>5739604682.4787235</v>
      </c>
      <c r="K23" s="112">
        <f t="shared" si="1"/>
        <v>320385372</v>
      </c>
      <c r="L23" s="69"/>
      <c r="M23" s="69"/>
    </row>
    <row r="24" spans="1:13" ht="15.6">
      <c r="A24" s="110">
        <v>21</v>
      </c>
      <c r="B24" s="111">
        <f t="shared" si="4"/>
        <v>96483.399800493644</v>
      </c>
      <c r="C24" s="111">
        <v>603848189.60000002</v>
      </c>
      <c r="D24" s="111">
        <v>53044.559240000002</v>
      </c>
      <c r="E24" s="113">
        <v>3257854072.5152998</v>
      </c>
      <c r="F24" s="111">
        <f t="shared" si="2"/>
        <v>277744788.4676885</v>
      </c>
      <c r="G24" s="110">
        <v>11433668</v>
      </c>
      <c r="H24" s="115">
        <f t="shared" si="5"/>
        <v>24.291836046637748</v>
      </c>
      <c r="I24" s="111">
        <f t="shared" si="0"/>
        <v>277648305.06788802</v>
      </c>
      <c r="J24" s="111">
        <f t="shared" si="3"/>
        <v>6017252987.5466118</v>
      </c>
      <c r="K24" s="112">
        <f t="shared" si="1"/>
        <v>331819040</v>
      </c>
      <c r="L24" s="69"/>
      <c r="M24" s="69"/>
    </row>
    <row r="25" spans="1:13" ht="15.6">
      <c r="A25" s="110">
        <v>22</v>
      </c>
      <c r="B25" s="111">
        <f t="shared" si="4"/>
        <v>99377.901794508463</v>
      </c>
      <c r="C25" s="111">
        <v>604239890.5</v>
      </c>
      <c r="D25" s="111">
        <v>73959.858600000007</v>
      </c>
      <c r="E25" s="113">
        <v>3256491301.8028998</v>
      </c>
      <c r="F25" s="111">
        <f t="shared" si="2"/>
        <v>266718321.32747796</v>
      </c>
      <c r="G25" s="110">
        <v>11090658</v>
      </c>
      <c r="H25" s="115">
        <f t="shared" si="5"/>
        <v>24.048917686171368</v>
      </c>
      <c r="I25" s="111">
        <f t="shared" si="0"/>
        <v>266618943.42568344</v>
      </c>
      <c r="J25" s="111">
        <f t="shared" si="3"/>
        <v>6283871930.9722948</v>
      </c>
      <c r="K25" s="112">
        <f t="shared" si="1"/>
        <v>342909698</v>
      </c>
      <c r="L25" s="69"/>
      <c r="M25" s="69"/>
    </row>
    <row r="26" spans="1:13" ht="15.6">
      <c r="A26" s="110">
        <v>23</v>
      </c>
      <c r="B26" s="111">
        <f t="shared" si="4"/>
        <v>102359.23884834371</v>
      </c>
      <c r="C26" s="111">
        <v>604475724.29999995</v>
      </c>
      <c r="D26" s="111">
        <v>53499.998890000003</v>
      </c>
      <c r="E26" s="113">
        <v>3256108458.6402001</v>
      </c>
      <c r="F26" s="111">
        <f t="shared" si="2"/>
        <v>256129597.78058571</v>
      </c>
      <c r="G26" s="110">
        <v>10757938</v>
      </c>
      <c r="H26" s="115">
        <f t="shared" si="5"/>
        <v>23.808428509309657</v>
      </c>
      <c r="I26" s="111">
        <f t="shared" si="0"/>
        <v>256027238.54173735</v>
      </c>
      <c r="J26" s="111">
        <f t="shared" si="3"/>
        <v>6539899169.5140324</v>
      </c>
      <c r="K26" s="112">
        <f t="shared" si="1"/>
        <v>353667636</v>
      </c>
      <c r="L26" s="69"/>
      <c r="M26" s="69"/>
    </row>
    <row r="27" spans="1:13" ht="15.6">
      <c r="A27" s="110">
        <v>24</v>
      </c>
      <c r="B27" s="111">
        <f t="shared" si="4"/>
        <v>105430.01601379401</v>
      </c>
      <c r="C27" s="111">
        <v>604982349.60000002</v>
      </c>
      <c r="D27" s="111">
        <v>33545.861720000001</v>
      </c>
      <c r="E27" s="113">
        <v>3254968260.4714999</v>
      </c>
      <c r="F27" s="111">
        <f t="shared" si="2"/>
        <v>245961256.04854465</v>
      </c>
      <c r="G27" s="110">
        <v>10435200</v>
      </c>
      <c r="H27" s="115">
        <f t="shared" si="5"/>
        <v>23.570344224216559</v>
      </c>
      <c r="I27" s="111">
        <f t="shared" si="0"/>
        <v>245855826.03253084</v>
      </c>
      <c r="J27" s="111">
        <f t="shared" si="3"/>
        <v>6785754995.5465631</v>
      </c>
      <c r="K27" s="112">
        <f t="shared" si="1"/>
        <v>364102836</v>
      </c>
      <c r="L27" s="69"/>
      <c r="M27" s="69"/>
    </row>
    <row r="28" spans="1:13" ht="15.6">
      <c r="A28" s="110">
        <v>25</v>
      </c>
      <c r="B28" s="111">
        <f>($B$4*(1+$M$3)^A28)+B3</f>
        <v>604244986.31649423</v>
      </c>
      <c r="C28" s="111">
        <v>605564727.5</v>
      </c>
      <c r="D28" s="111">
        <v>41108.387779999997</v>
      </c>
      <c r="E28" s="113">
        <v>3253253720.2140999</v>
      </c>
      <c r="F28" s="111">
        <f t="shared" si="2"/>
        <v>236196594.18341741</v>
      </c>
      <c r="G28" s="110">
        <v>10122144</v>
      </c>
      <c r="H28" s="115">
        <f t="shared" si="5"/>
        <v>23.334640781974393</v>
      </c>
      <c r="I28" s="111">
        <f t="shared" si="0"/>
        <v>-368048392.13307679</v>
      </c>
      <c r="J28" s="111">
        <f t="shared" si="3"/>
        <v>6417706603.4134865</v>
      </c>
      <c r="K28" s="112">
        <f t="shared" si="1"/>
        <v>374224980</v>
      </c>
      <c r="L28" s="69"/>
      <c r="M28" s="69"/>
    </row>
    <row r="29" spans="1:13" ht="15.6">
      <c r="A29" s="110">
        <v>26</v>
      </c>
      <c r="B29" s="111">
        <f t="shared" si="4"/>
        <v>111850.70398903408</v>
      </c>
      <c r="C29" s="111">
        <v>604744978.39999998</v>
      </c>
      <c r="D29" s="111">
        <v>44146.636229999996</v>
      </c>
      <c r="E29" s="113">
        <v>3255485909.8945999</v>
      </c>
      <c r="F29" s="111">
        <f t="shared" si="2"/>
        <v>226819596.78674993</v>
      </c>
      <c r="G29" s="110">
        <v>9818480</v>
      </c>
      <c r="H29" s="115">
        <f t="shared" si="5"/>
        <v>23.101294374154648</v>
      </c>
      <c r="I29" s="111">
        <f t="shared" si="0"/>
        <v>226707746.0827609</v>
      </c>
      <c r="J29" s="111">
        <f t="shared" si="3"/>
        <v>6644414349.4962473</v>
      </c>
      <c r="K29" s="112">
        <f t="shared" si="1"/>
        <v>384043460</v>
      </c>
      <c r="L29" s="69"/>
      <c r="M29" s="69"/>
    </row>
    <row r="30" spans="1:13" ht="15.6">
      <c r="A30" s="110">
        <v>27</v>
      </c>
      <c r="B30" s="111">
        <f t="shared" si="4"/>
        <v>115206.2251087051</v>
      </c>
      <c r="C30" s="111">
        <v>604583027.70000005</v>
      </c>
      <c r="D30" s="111">
        <v>45396.064720000002</v>
      </c>
      <c r="E30" s="113">
        <v>3255918308.2750001</v>
      </c>
      <c r="F30" s="111">
        <f t="shared" si="2"/>
        <v>217814867.94242856</v>
      </c>
      <c r="G30" s="110">
        <v>9523926</v>
      </c>
      <c r="H30" s="115">
        <f t="shared" si="5"/>
        <v>22.870281430413105</v>
      </c>
      <c r="I30" s="111">
        <f t="shared" si="0"/>
        <v>217699661.71731985</v>
      </c>
      <c r="J30" s="111">
        <f t="shared" si="3"/>
        <v>6862114011.2135668</v>
      </c>
      <c r="K30" s="112">
        <f t="shared" si="1"/>
        <v>393567386</v>
      </c>
      <c r="L30" s="69"/>
      <c r="M30" s="69"/>
    </row>
    <row r="31" spans="1:13" ht="15.6">
      <c r="A31" s="110">
        <v>28</v>
      </c>
      <c r="B31" s="111">
        <f t="shared" si="4"/>
        <v>118662.41186196625</v>
      </c>
      <c r="C31" s="111">
        <v>605574552.70000005</v>
      </c>
      <c r="D31" s="111">
        <v>55155.783349999998</v>
      </c>
      <c r="E31" s="113">
        <v>3253040481.8724999</v>
      </c>
      <c r="F31" s="111">
        <f t="shared" si="2"/>
        <v>209167612.7039668</v>
      </c>
      <c r="G31" s="110">
        <v>9238208</v>
      </c>
      <c r="H31" s="115">
        <f t="shared" si="5"/>
        <v>22.641578616108969</v>
      </c>
      <c r="I31" s="111">
        <f t="shared" si="0"/>
        <v>209048950.29210484</v>
      </c>
      <c r="J31" s="111">
        <f t="shared" si="3"/>
        <v>7071162961.5056715</v>
      </c>
      <c r="K31" s="112">
        <f t="shared" si="1"/>
        <v>402805594</v>
      </c>
      <c r="L31" s="69"/>
      <c r="M31" s="69"/>
    </row>
    <row r="32" spans="1:13" ht="15.6">
      <c r="A32" s="110">
        <v>29</v>
      </c>
      <c r="B32" s="111">
        <f t="shared" si="4"/>
        <v>122222.28421782522</v>
      </c>
      <c r="C32" s="111">
        <v>606869098.60000002</v>
      </c>
      <c r="D32" s="111">
        <v>47154.976779999997</v>
      </c>
      <c r="E32" s="113">
        <v>3249557821.5706</v>
      </c>
      <c r="F32" s="111">
        <f t="shared" si="2"/>
        <v>200863663.85925838</v>
      </c>
      <c r="G32" s="110">
        <v>8961062</v>
      </c>
      <c r="H32" s="115">
        <f t="shared" si="5"/>
        <v>22.415162829947878</v>
      </c>
      <c r="I32" s="111">
        <f t="shared" si="0"/>
        <v>200741441.57504055</v>
      </c>
      <c r="J32" s="111">
        <f t="shared" si="3"/>
        <v>7271904403.0807123</v>
      </c>
      <c r="K32" s="112">
        <f t="shared" si="1"/>
        <v>411766656</v>
      </c>
      <c r="L32" s="69"/>
      <c r="M32" s="69"/>
    </row>
    <row r="33" spans="1:13" ht="15.6">
      <c r="A33" s="110">
        <v>30</v>
      </c>
      <c r="B33" s="111">
        <f t="shared" si="4"/>
        <v>125888.95274435998</v>
      </c>
      <c r="C33" s="111">
        <v>604136393.39999998</v>
      </c>
      <c r="D33" s="111">
        <v>51864.581709999999</v>
      </c>
      <c r="E33" s="113">
        <v>3257070769.4317999</v>
      </c>
      <c r="F33" s="111">
        <f t="shared" si="2"/>
        <v>192889373.2973043</v>
      </c>
      <c r="G33" s="110">
        <v>8692230</v>
      </c>
      <c r="H33" s="115">
        <f t="shared" si="5"/>
        <v>22.191011201648404</v>
      </c>
      <c r="I33" s="111">
        <f t="shared" si="0"/>
        <v>192763484.34455994</v>
      </c>
      <c r="J33" s="111">
        <f t="shared" si="3"/>
        <v>7464667887.425272</v>
      </c>
      <c r="K33" s="112">
        <f t="shared" si="1"/>
        <v>420458886</v>
      </c>
      <c r="L33" s="69"/>
      <c r="M33" s="69"/>
    </row>
    <row r="34" spans="1:13" ht="15.75" customHeight="1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</row>
    <row r="35" spans="1:13" ht="15.75" customHeight="1">
      <c r="A35" s="69"/>
      <c r="B35" s="69"/>
      <c r="C35" s="69"/>
      <c r="D35" s="69"/>
      <c r="E35" s="69"/>
      <c r="F35" s="69"/>
      <c r="G35" s="69"/>
      <c r="H35" s="24" t="s">
        <v>28</v>
      </c>
      <c r="I35" s="27">
        <f t="array" ref="I35">NPV(0.074,I4:I23)+I3</f>
        <v>3257070769.4317918</v>
      </c>
      <c r="J35" s="69"/>
      <c r="K35" s="69"/>
      <c r="L35" s="69"/>
      <c r="M35" s="69"/>
    </row>
    <row r="36" spans="1:13" ht="15.75" customHeight="1">
      <c r="A36" s="69"/>
      <c r="B36" s="69"/>
      <c r="C36" s="69"/>
      <c r="D36" s="69"/>
      <c r="E36" s="69"/>
      <c r="F36" s="69"/>
      <c r="G36" s="69"/>
      <c r="H36" s="24" t="s">
        <v>29</v>
      </c>
      <c r="I36" s="24">
        <v>5</v>
      </c>
      <c r="J36" s="69"/>
      <c r="K36" s="69"/>
      <c r="L36" s="69"/>
      <c r="M36" s="69"/>
    </row>
    <row r="37" spans="1:13" ht="15.75" customHeight="1">
      <c r="A37" s="69"/>
      <c r="B37" s="69"/>
      <c r="C37" s="69"/>
      <c r="D37" s="69"/>
      <c r="E37" s="69"/>
      <c r="F37" s="69"/>
      <c r="G37" s="69"/>
      <c r="H37" s="24" t="s">
        <v>30</v>
      </c>
      <c r="I37" s="26">
        <f>IRR(I3:I33,0.2)</f>
        <v>0.98242021816604619</v>
      </c>
      <c r="J37" s="69"/>
      <c r="K37" s="69"/>
      <c r="L37" s="69"/>
      <c r="M37" s="69"/>
    </row>
    <row r="38" spans="1:13" ht="15.75" customHeight="1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</row>
    <row r="39" spans="1:13" ht="15.75" customHeight="1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</row>
    <row r="40" spans="1:13" ht="15.75" customHeight="1">
      <c r="B40" s="5"/>
      <c r="F40" s="24"/>
      <c r="G40" s="2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518160</xdr:colOff>
                <xdr:row>37</xdr:row>
                <xdr:rowOff>76200</xdr:rowOff>
              </from>
              <to>
                <xdr:col>3</xdr:col>
                <xdr:colOff>365760</xdr:colOff>
                <xdr:row>43</xdr:row>
                <xdr:rowOff>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Q54"/>
  <sheetViews>
    <sheetView topLeftCell="A10" workbookViewId="0">
      <selection activeCell="H36" sqref="H36"/>
    </sheetView>
  </sheetViews>
  <sheetFormatPr defaultColWidth="14.44140625" defaultRowHeight="15.75" customHeight="1"/>
  <cols>
    <col min="1" max="1" width="40.33203125" bestFit="1" customWidth="1"/>
    <col min="2" max="2" width="21.109375" bestFit="1" customWidth="1"/>
    <col min="3" max="3" width="15" bestFit="1" customWidth="1"/>
    <col min="4" max="4" width="14.33203125" bestFit="1" customWidth="1"/>
    <col min="5" max="5" width="21.109375" bestFit="1" customWidth="1"/>
    <col min="6" max="6" width="15.33203125" style="31" bestFit="1" customWidth="1"/>
    <col min="7" max="7" width="21.109375" bestFit="1" customWidth="1"/>
    <col min="8" max="8" width="26" bestFit="1" customWidth="1"/>
    <col min="9" max="9" width="23.109375" bestFit="1" customWidth="1"/>
    <col min="10" max="10" width="25.109375" customWidth="1"/>
    <col min="11" max="11" width="19.44140625" customWidth="1"/>
    <col min="12" max="12" width="9.109375" customWidth="1"/>
    <col min="13" max="13" width="7.33203125" customWidth="1"/>
  </cols>
  <sheetData>
    <row r="1" spans="1:17" ht="15.75" customHeight="1">
      <c r="A1" s="86" t="s">
        <v>1</v>
      </c>
      <c r="B1" s="86" t="s">
        <v>71</v>
      </c>
      <c r="C1" s="86" t="s">
        <v>34</v>
      </c>
      <c r="D1" s="86" t="s">
        <v>81</v>
      </c>
      <c r="E1" s="86" t="s">
        <v>3</v>
      </c>
      <c r="F1" s="86"/>
      <c r="G1" s="87" t="s">
        <v>6</v>
      </c>
      <c r="H1" s="86" t="s">
        <v>7</v>
      </c>
      <c r="I1" s="83"/>
      <c r="J1" s="83"/>
      <c r="K1" s="53"/>
      <c r="L1" s="53"/>
      <c r="M1" s="53"/>
      <c r="N1" s="53"/>
      <c r="O1" s="53"/>
      <c r="P1" s="53"/>
      <c r="Q1" s="53"/>
    </row>
    <row r="2" spans="1:17" ht="15.75" customHeight="1" thickBot="1">
      <c r="A2" s="88">
        <v>0</v>
      </c>
      <c r="B2" s="89">
        <v>14617096.51</v>
      </c>
      <c r="C2" s="90"/>
      <c r="D2" s="94"/>
      <c r="E2" s="91"/>
      <c r="F2" s="86"/>
      <c r="G2" s="92">
        <f>E2-B2</f>
        <v>-14617096.51</v>
      </c>
      <c r="H2" s="89">
        <f>SUM(G$2:G2)</f>
        <v>-14617096.51</v>
      </c>
      <c r="I2" s="53"/>
      <c r="J2" s="53"/>
      <c r="K2" s="54"/>
      <c r="L2" s="54"/>
      <c r="M2" s="53"/>
      <c r="N2" s="53"/>
      <c r="O2" s="53"/>
      <c r="P2" s="53"/>
      <c r="Q2" s="53"/>
    </row>
    <row r="3" spans="1:17" ht="15.75" customHeight="1" thickBot="1">
      <c r="A3" s="88">
        <v>1</v>
      </c>
      <c r="B3" s="91"/>
      <c r="C3" s="95">
        <v>17368653.489999998</v>
      </c>
      <c r="D3" s="97">
        <v>2088336529.0234001</v>
      </c>
      <c r="E3" s="89">
        <v>2427500000</v>
      </c>
      <c r="F3" s="86"/>
      <c r="G3" s="92">
        <f>E3-B3</f>
        <v>2427500000</v>
      </c>
      <c r="H3" s="89">
        <f>SUM(G$2:G3)</f>
        <v>2412882903.4899998</v>
      </c>
      <c r="I3" s="53"/>
      <c r="J3" s="53"/>
      <c r="K3" s="53"/>
      <c r="L3" s="53"/>
      <c r="M3" s="53"/>
      <c r="N3" s="53"/>
      <c r="O3" s="53"/>
      <c r="P3" s="53"/>
      <c r="Q3" s="53"/>
    </row>
    <row r="4" spans="1:17" ht="15.75" customHeight="1" thickBot="1">
      <c r="A4" s="88">
        <v>2</v>
      </c>
      <c r="B4" s="86"/>
      <c r="C4" s="95">
        <v>15125873.33</v>
      </c>
      <c r="D4" s="97">
        <v>2090424778.7068</v>
      </c>
      <c r="E4" s="86"/>
      <c r="F4" s="86"/>
      <c r="G4" s="93"/>
      <c r="H4" s="86"/>
      <c r="I4" s="53"/>
      <c r="J4" s="53"/>
      <c r="K4" s="53"/>
      <c r="L4" s="53"/>
      <c r="M4" s="53"/>
      <c r="N4" s="53"/>
      <c r="O4" s="53"/>
      <c r="P4" s="53"/>
      <c r="Q4" s="53"/>
    </row>
    <row r="5" spans="1:17" ht="15.75" customHeight="1" thickBot="1">
      <c r="A5" s="88">
        <v>3</v>
      </c>
      <c r="B5" s="86"/>
      <c r="C5" s="95">
        <v>13659078.689999999</v>
      </c>
      <c r="D5" s="97">
        <v>2091790509.2841001</v>
      </c>
      <c r="E5" s="86"/>
      <c r="F5" s="86"/>
      <c r="G5" s="93"/>
      <c r="H5" s="86"/>
      <c r="I5" s="53"/>
      <c r="J5" s="53"/>
      <c r="K5" s="53"/>
      <c r="L5" s="53"/>
      <c r="M5" s="53"/>
      <c r="N5" s="53"/>
      <c r="O5" s="53"/>
      <c r="P5" s="53"/>
      <c r="Q5" s="53"/>
    </row>
    <row r="6" spans="1:17" ht="15.75" customHeight="1" thickBot="1">
      <c r="A6" s="88">
        <v>4</v>
      </c>
      <c r="B6" s="86"/>
      <c r="C6" s="95">
        <v>19006219.350000001</v>
      </c>
      <c r="D6" s="97">
        <v>2086811793.5857</v>
      </c>
      <c r="E6" s="86"/>
      <c r="F6" s="86"/>
      <c r="G6" s="93"/>
      <c r="H6" s="86"/>
      <c r="I6" s="53"/>
      <c r="J6" s="53"/>
      <c r="K6" s="53"/>
      <c r="L6" s="53"/>
      <c r="M6" s="53"/>
      <c r="N6" s="53"/>
      <c r="O6" s="53"/>
      <c r="P6" s="53"/>
      <c r="Q6" s="53"/>
    </row>
    <row r="7" spans="1:17" ht="15.75" customHeight="1" thickBot="1">
      <c r="A7" s="88">
        <v>5</v>
      </c>
      <c r="B7" s="86"/>
      <c r="C7" s="95">
        <v>17455701.239999998</v>
      </c>
      <c r="D7" s="97">
        <v>2088255478.9768</v>
      </c>
      <c r="E7" s="86"/>
      <c r="F7" s="86"/>
      <c r="G7" s="93"/>
      <c r="H7" s="86"/>
      <c r="I7" s="53"/>
      <c r="J7" s="53"/>
      <c r="K7" s="53"/>
      <c r="L7" s="53"/>
      <c r="M7" s="53"/>
      <c r="N7" s="53"/>
      <c r="O7" s="53"/>
      <c r="P7" s="53"/>
      <c r="Q7" s="53"/>
    </row>
    <row r="8" spans="1:17" ht="15.75" customHeight="1" thickBot="1">
      <c r="A8" s="88">
        <v>6</v>
      </c>
      <c r="B8" s="86"/>
      <c r="C8" s="95">
        <v>9575125.6260000002</v>
      </c>
      <c r="D8" s="97">
        <v>2095593072.6584001</v>
      </c>
      <c r="E8" s="86"/>
      <c r="F8" s="86"/>
      <c r="G8" s="93"/>
      <c r="H8" s="86"/>
      <c r="I8" s="53"/>
      <c r="J8" s="53"/>
      <c r="K8" s="53"/>
      <c r="L8" s="53"/>
      <c r="M8" s="53"/>
      <c r="N8" s="53"/>
      <c r="O8" s="53"/>
      <c r="P8" s="53"/>
      <c r="Q8" s="53"/>
    </row>
    <row r="9" spans="1:17" ht="15.75" customHeight="1" thickBot="1">
      <c r="A9" s="88">
        <v>7</v>
      </c>
      <c r="B9" s="86"/>
      <c r="C9" s="95">
        <v>14939445.619999999</v>
      </c>
      <c r="D9" s="97">
        <v>2090598361.3045001</v>
      </c>
      <c r="E9" s="86"/>
      <c r="F9" s="86"/>
      <c r="G9" s="93"/>
      <c r="H9" s="86"/>
      <c r="I9" s="53"/>
      <c r="J9" s="53"/>
      <c r="K9" s="53"/>
      <c r="L9" s="53"/>
      <c r="M9" s="53"/>
      <c r="N9" s="53"/>
      <c r="O9" s="53"/>
      <c r="P9" s="53"/>
      <c r="Q9" s="53"/>
    </row>
    <row r="10" spans="1:17" ht="15.75" customHeight="1" thickBot="1">
      <c r="A10" s="88">
        <v>8</v>
      </c>
      <c r="B10" s="86"/>
      <c r="C10" s="95">
        <v>10434186.220000001</v>
      </c>
      <c r="D10" s="97">
        <v>2094793202.4591</v>
      </c>
      <c r="E10" s="86"/>
      <c r="F10" s="86"/>
      <c r="G10" s="93"/>
      <c r="H10" s="86"/>
      <c r="I10" s="53"/>
      <c r="J10" s="53"/>
      <c r="K10" s="53"/>
      <c r="L10" s="53"/>
      <c r="M10" s="53"/>
      <c r="N10" s="53"/>
      <c r="O10" s="53"/>
      <c r="P10" s="53"/>
      <c r="Q10" s="53"/>
    </row>
    <row r="11" spans="1:17" ht="15.75" customHeight="1" thickBot="1">
      <c r="A11" s="88">
        <v>9</v>
      </c>
      <c r="B11" s="86"/>
      <c r="C11" s="95">
        <v>14739317.41</v>
      </c>
      <c r="D11" s="97">
        <v>2090784700.4200001</v>
      </c>
      <c r="E11" s="86"/>
      <c r="F11" s="86"/>
      <c r="G11" s="93"/>
      <c r="H11" s="86"/>
      <c r="I11" s="53"/>
      <c r="J11" s="53"/>
      <c r="K11" s="53"/>
      <c r="L11" s="53"/>
      <c r="M11" s="53"/>
      <c r="N11" s="53"/>
      <c r="O11" s="53"/>
      <c r="P11" s="53"/>
      <c r="Q11" s="53"/>
    </row>
    <row r="12" spans="1:17" ht="15.75" customHeight="1" thickBot="1">
      <c r="A12" s="88">
        <v>10</v>
      </c>
      <c r="B12" s="86"/>
      <c r="C12" s="95">
        <v>12144338.949999999</v>
      </c>
      <c r="D12" s="97">
        <v>2093200881.4814999</v>
      </c>
      <c r="E12" s="86"/>
      <c r="F12" s="86"/>
      <c r="G12" s="93"/>
      <c r="H12" s="86"/>
      <c r="I12" s="53"/>
      <c r="J12" s="53"/>
      <c r="K12" s="53"/>
      <c r="L12" s="53"/>
      <c r="M12" s="53"/>
      <c r="N12" s="53"/>
      <c r="O12" s="53"/>
      <c r="P12" s="53"/>
      <c r="Q12" s="53"/>
    </row>
    <row r="13" spans="1:17" ht="15.75" customHeight="1" thickBot="1">
      <c r="A13" s="88">
        <v>11</v>
      </c>
      <c r="B13" s="86"/>
      <c r="C13" s="95">
        <v>10860242.890000001</v>
      </c>
      <c r="D13" s="97">
        <v>2094396501.6491001</v>
      </c>
      <c r="E13" s="86"/>
      <c r="F13" s="86"/>
      <c r="G13" s="93"/>
      <c r="H13" s="86"/>
      <c r="I13" s="53"/>
      <c r="J13" s="53"/>
      <c r="K13" s="53"/>
      <c r="L13" s="53"/>
      <c r="M13" s="53"/>
      <c r="N13" s="53"/>
      <c r="O13" s="53"/>
      <c r="P13" s="53"/>
      <c r="Q13" s="53"/>
    </row>
    <row r="14" spans="1:17" ht="15.75" customHeight="1" thickBot="1">
      <c r="A14" s="88">
        <v>12</v>
      </c>
      <c r="B14" s="86"/>
      <c r="C14" s="95">
        <v>15377982.33</v>
      </c>
      <c r="D14" s="97">
        <v>2090190040.3455</v>
      </c>
      <c r="E14" s="86"/>
      <c r="F14" s="86"/>
      <c r="G14" s="93"/>
      <c r="H14" s="86"/>
      <c r="I14" s="53"/>
      <c r="J14" s="53"/>
      <c r="K14" s="53"/>
      <c r="L14" s="53"/>
      <c r="M14" s="53"/>
      <c r="N14" s="53"/>
      <c r="O14" s="53"/>
      <c r="P14" s="53"/>
      <c r="Q14" s="53"/>
    </row>
    <row r="15" spans="1:17" ht="15.75" customHeight="1" thickBot="1">
      <c r="A15" s="88">
        <v>13</v>
      </c>
      <c r="B15" s="86"/>
      <c r="C15" s="95">
        <v>16459711.91</v>
      </c>
      <c r="D15" s="97">
        <v>2089182843.3436</v>
      </c>
      <c r="E15" s="86"/>
      <c r="F15" s="86"/>
      <c r="G15" s="93"/>
      <c r="H15" s="86"/>
      <c r="I15" s="53"/>
      <c r="J15" s="53"/>
      <c r="K15" s="53"/>
      <c r="L15" s="53"/>
      <c r="M15" s="53"/>
      <c r="N15" s="53"/>
      <c r="O15" s="53"/>
      <c r="P15" s="53"/>
      <c r="Q15" s="53"/>
    </row>
    <row r="16" spans="1:17" ht="15.75" customHeight="1" thickBot="1">
      <c r="A16" s="88">
        <v>14</v>
      </c>
      <c r="B16" s="86"/>
      <c r="C16" s="95">
        <v>14029073.82</v>
      </c>
      <c r="D16" s="97">
        <v>2091446007.3008001</v>
      </c>
      <c r="E16" s="86"/>
      <c r="F16" s="86"/>
      <c r="G16" s="93"/>
      <c r="H16" s="86"/>
      <c r="I16" s="53"/>
      <c r="J16" s="53"/>
      <c r="K16" s="53"/>
      <c r="L16" s="53"/>
      <c r="M16" s="53"/>
      <c r="N16" s="53"/>
      <c r="O16" s="53"/>
      <c r="P16" s="53"/>
      <c r="Q16" s="53"/>
    </row>
    <row r="17" spans="1:17" ht="15.75" customHeight="1" thickBot="1">
      <c r="A17" s="88">
        <v>15</v>
      </c>
      <c r="B17" s="86"/>
      <c r="C17" s="95">
        <v>13678331.449999999</v>
      </c>
      <c r="D17" s="97">
        <v>2091772583.0643001</v>
      </c>
      <c r="E17" s="86"/>
      <c r="F17" s="86"/>
      <c r="G17" s="93"/>
      <c r="H17" s="86"/>
      <c r="I17" s="55"/>
      <c r="J17" s="53"/>
      <c r="K17" s="53"/>
      <c r="L17" s="53"/>
      <c r="M17" s="53"/>
      <c r="N17" s="53"/>
      <c r="O17" s="53"/>
      <c r="P17" s="53"/>
      <c r="Q17" s="53"/>
    </row>
    <row r="18" spans="1:17" ht="15.75" customHeight="1" thickBot="1">
      <c r="A18" s="88">
        <v>16</v>
      </c>
      <c r="B18" s="86"/>
      <c r="C18" s="95">
        <v>18631782.829999998</v>
      </c>
      <c r="D18" s="97">
        <v>2087160430.9414001</v>
      </c>
      <c r="E18" s="86"/>
      <c r="F18" s="86"/>
      <c r="G18" s="93"/>
      <c r="H18" s="86"/>
      <c r="I18" s="55"/>
      <c r="J18" s="53"/>
      <c r="K18" s="53"/>
      <c r="L18" s="53"/>
      <c r="M18" s="53"/>
      <c r="N18" s="53"/>
      <c r="O18" s="53"/>
      <c r="P18" s="53"/>
      <c r="Q18" s="53"/>
    </row>
    <row r="19" spans="1:17" ht="15.75" customHeight="1" thickBot="1">
      <c r="A19" s="88">
        <v>17</v>
      </c>
      <c r="B19" s="86"/>
      <c r="C19" s="95">
        <v>17335066</v>
      </c>
      <c r="D19" s="97">
        <v>2088367802.2915001</v>
      </c>
      <c r="E19" s="86"/>
      <c r="F19" s="86"/>
      <c r="G19" s="93"/>
      <c r="H19" s="86"/>
      <c r="I19" s="55"/>
      <c r="J19" s="53"/>
      <c r="K19" s="53"/>
      <c r="L19" s="53"/>
      <c r="M19" s="53"/>
      <c r="N19" s="53"/>
      <c r="O19" s="53"/>
      <c r="P19" s="53"/>
      <c r="Q19" s="53"/>
    </row>
    <row r="20" spans="1:17" ht="15.75" customHeight="1" thickBot="1">
      <c r="A20" s="88">
        <v>18</v>
      </c>
      <c r="B20" s="86"/>
      <c r="C20" s="95">
        <v>16203035.23</v>
      </c>
      <c r="D20" s="97">
        <v>2089421834.6658001</v>
      </c>
      <c r="E20" s="86"/>
      <c r="F20" s="86"/>
      <c r="G20" s="93"/>
      <c r="H20" s="86"/>
      <c r="I20" s="55"/>
      <c r="J20" s="53"/>
      <c r="K20" s="53"/>
      <c r="L20" s="53"/>
      <c r="M20" s="53"/>
      <c r="N20" s="53"/>
      <c r="O20" s="53"/>
      <c r="P20" s="53"/>
      <c r="Q20" s="53"/>
    </row>
    <row r="21" spans="1:17" ht="15.75" customHeight="1" thickBot="1">
      <c r="A21" s="88">
        <v>19</v>
      </c>
      <c r="B21" s="86"/>
      <c r="C21" s="95">
        <v>14215508.880000001</v>
      </c>
      <c r="D21" s="97">
        <v>2091272417.8594999</v>
      </c>
      <c r="E21" s="86"/>
      <c r="F21" s="86"/>
      <c r="G21" s="93"/>
      <c r="H21" s="86"/>
      <c r="I21" s="55"/>
      <c r="J21" s="53"/>
      <c r="K21" s="53"/>
      <c r="L21" s="53"/>
      <c r="M21" s="53"/>
      <c r="N21" s="53"/>
      <c r="O21" s="53"/>
      <c r="P21" s="53"/>
      <c r="Q21" s="53"/>
    </row>
    <row r="22" spans="1:17" ht="15.75" customHeight="1" thickBot="1">
      <c r="A22" s="88">
        <v>20</v>
      </c>
      <c r="B22" s="86"/>
      <c r="C22" s="95">
        <v>14309756.710000001</v>
      </c>
      <c r="D22" s="97">
        <v>2091184663.8278</v>
      </c>
      <c r="E22" s="86"/>
      <c r="F22" s="86"/>
      <c r="G22" s="93"/>
      <c r="H22" s="86"/>
      <c r="I22" s="55"/>
      <c r="J22" s="53"/>
      <c r="K22" s="53"/>
      <c r="L22" s="53"/>
      <c r="M22" s="53"/>
      <c r="N22" s="53"/>
      <c r="O22" s="53"/>
      <c r="P22" s="53"/>
      <c r="Q22" s="53"/>
    </row>
    <row r="23" spans="1:17" ht="15.75" customHeight="1" thickBot="1">
      <c r="A23" s="88">
        <v>21</v>
      </c>
      <c r="B23" s="88"/>
      <c r="C23" s="95">
        <v>12378286.34</v>
      </c>
      <c r="D23" s="97">
        <v>2092983053.3715999</v>
      </c>
      <c r="E23" s="86"/>
      <c r="F23" s="86"/>
      <c r="G23" s="93"/>
      <c r="H23" s="86"/>
      <c r="I23" s="55"/>
      <c r="J23" s="53"/>
      <c r="K23" s="53"/>
      <c r="L23" s="53"/>
      <c r="M23" s="53"/>
      <c r="N23" s="53"/>
      <c r="O23" s="53"/>
      <c r="P23" s="53"/>
      <c r="Q23" s="53"/>
    </row>
    <row r="24" spans="1:17" ht="15.75" customHeight="1" thickBot="1">
      <c r="A24" s="88">
        <v>22</v>
      </c>
      <c r="B24" s="86"/>
      <c r="C24" s="95">
        <v>16060054.08</v>
      </c>
      <c r="D24" s="97">
        <v>2089554964.2282</v>
      </c>
      <c r="E24" s="86"/>
      <c r="F24" s="85"/>
      <c r="G24" s="93"/>
      <c r="H24" s="86"/>
      <c r="I24" s="53"/>
      <c r="J24" s="53"/>
      <c r="K24" s="53"/>
      <c r="L24" s="53"/>
      <c r="M24" s="53"/>
      <c r="N24" s="53"/>
      <c r="O24" s="53"/>
      <c r="P24" s="53"/>
      <c r="Q24" s="53"/>
    </row>
    <row r="25" spans="1:17" ht="15.75" customHeight="1" thickBot="1">
      <c r="A25" s="88">
        <v>23</v>
      </c>
      <c r="B25" s="86"/>
      <c r="C25" s="95">
        <v>16215209.15</v>
      </c>
      <c r="D25" s="97">
        <v>2089410499.5448</v>
      </c>
      <c r="E25" s="86"/>
      <c r="F25" s="85"/>
      <c r="G25" s="93"/>
      <c r="H25" s="85"/>
      <c r="I25" s="57"/>
      <c r="J25" s="53"/>
      <c r="K25" s="53"/>
      <c r="L25" s="53"/>
      <c r="M25" s="53"/>
      <c r="N25" s="53"/>
      <c r="O25" s="53"/>
      <c r="P25" s="53"/>
      <c r="Q25" s="53"/>
    </row>
    <row r="26" spans="1:17" ht="15.75" customHeight="1" thickBot="1">
      <c r="A26" s="88">
        <v>24</v>
      </c>
      <c r="B26" s="86"/>
      <c r="C26" s="95">
        <v>18132885.48</v>
      </c>
      <c r="D26" s="97">
        <v>2087624953.6136999</v>
      </c>
      <c r="E26" s="86"/>
      <c r="F26" s="85"/>
      <c r="G26" s="93"/>
      <c r="H26" s="85"/>
      <c r="I26" s="58"/>
      <c r="J26" s="53"/>
      <c r="K26" s="53"/>
      <c r="L26" s="53"/>
      <c r="M26" s="53"/>
      <c r="N26" s="53"/>
      <c r="O26" s="53"/>
      <c r="P26" s="53"/>
      <c r="Q26" s="53"/>
    </row>
    <row r="27" spans="1:17" ht="15.75" customHeight="1" thickBot="1">
      <c r="A27" s="88">
        <v>25</v>
      </c>
      <c r="B27" s="86"/>
      <c r="C27" s="95">
        <v>21979156.359999999</v>
      </c>
      <c r="D27" s="97">
        <v>2084043695.8111</v>
      </c>
      <c r="E27" s="86"/>
      <c r="F27" s="86"/>
      <c r="G27" s="93"/>
      <c r="H27" s="85"/>
      <c r="I27" s="56"/>
      <c r="J27" s="53"/>
      <c r="K27" s="53"/>
      <c r="L27" s="53"/>
      <c r="M27" s="53"/>
      <c r="N27" s="53"/>
      <c r="O27" s="53"/>
      <c r="P27" s="53"/>
      <c r="Q27" s="53"/>
    </row>
    <row r="28" spans="1:17" ht="15.75" customHeight="1" thickBot="1">
      <c r="A28" s="88">
        <v>26</v>
      </c>
      <c r="B28" s="86"/>
      <c r="C28" s="95">
        <v>10043472.199999999</v>
      </c>
      <c r="D28" s="97">
        <v>2095156995.7737999</v>
      </c>
      <c r="E28" s="86"/>
      <c r="F28" s="86"/>
      <c r="G28" s="93"/>
      <c r="H28" s="86"/>
      <c r="I28" s="53"/>
      <c r="J28" s="53"/>
      <c r="K28" s="53"/>
      <c r="L28" s="53"/>
      <c r="M28" s="53"/>
      <c r="N28" s="53"/>
      <c r="O28" s="53"/>
      <c r="P28" s="53"/>
      <c r="Q28" s="53"/>
    </row>
    <row r="29" spans="1:17" ht="15.75" customHeight="1" thickBot="1">
      <c r="A29" s="88">
        <v>27</v>
      </c>
      <c r="B29" s="86"/>
      <c r="C29" s="95">
        <v>7320493.0820000004</v>
      </c>
      <c r="D29" s="97">
        <v>2097692358.0811</v>
      </c>
      <c r="E29" s="86"/>
      <c r="F29" s="86"/>
      <c r="G29" s="93"/>
      <c r="H29" s="86"/>
      <c r="I29" s="53"/>
      <c r="J29" s="53"/>
      <c r="K29" s="53"/>
      <c r="L29" s="53"/>
      <c r="M29" s="53"/>
      <c r="N29" s="53"/>
      <c r="O29" s="53"/>
      <c r="P29" s="53"/>
      <c r="Q29" s="53"/>
    </row>
    <row r="30" spans="1:17" ht="15.75" customHeight="1" thickBot="1">
      <c r="A30" s="88">
        <v>28</v>
      </c>
      <c r="B30" s="86"/>
      <c r="C30" s="95">
        <v>12438938.789999999</v>
      </c>
      <c r="D30" s="97">
        <v>2092926579.9545</v>
      </c>
      <c r="E30" s="86"/>
      <c r="F30" s="86"/>
      <c r="G30" s="93"/>
      <c r="H30" s="86"/>
      <c r="I30" s="53"/>
      <c r="J30" s="53"/>
    </row>
    <row r="31" spans="1:17" ht="15.75" customHeight="1" thickBot="1">
      <c r="A31" s="88">
        <v>29</v>
      </c>
      <c r="B31" s="86"/>
      <c r="C31" s="95">
        <v>12116809.49</v>
      </c>
      <c r="D31" s="97">
        <v>2093226514.1257999</v>
      </c>
      <c r="E31" s="86"/>
      <c r="F31" s="86"/>
      <c r="G31" s="93"/>
      <c r="H31" s="86"/>
      <c r="I31" s="53"/>
      <c r="J31" s="53"/>
    </row>
    <row r="32" spans="1:17" ht="15.75" customHeight="1" thickBot="1">
      <c r="A32" s="88">
        <v>30</v>
      </c>
      <c r="B32" s="86"/>
      <c r="C32" s="95">
        <v>14617096.51</v>
      </c>
      <c r="D32" s="97">
        <v>2090898500.1407001</v>
      </c>
      <c r="E32" s="86"/>
      <c r="F32" s="86"/>
      <c r="G32" s="93"/>
      <c r="H32" s="86"/>
      <c r="I32" s="53"/>
      <c r="J32" s="53"/>
    </row>
    <row r="33" spans="1:7" ht="15.75" customHeight="1">
      <c r="A33" s="78"/>
      <c r="B33" s="69"/>
      <c r="C33" s="69"/>
      <c r="D33" s="69"/>
      <c r="E33" s="69"/>
      <c r="F33" s="69"/>
      <c r="G33" s="79"/>
    </row>
    <row r="34" spans="1:7" ht="15.75" customHeight="1">
      <c r="A34" s="78"/>
      <c r="B34" s="69"/>
      <c r="C34" s="69"/>
      <c r="D34" s="69"/>
      <c r="E34" s="69"/>
      <c r="F34" s="71" t="s">
        <v>28</v>
      </c>
      <c r="G34" s="82">
        <f>NPV(0.074,G2:G32)</f>
        <v>2090898500.1406698</v>
      </c>
    </row>
    <row r="35" spans="1:7" ht="15.75" customHeight="1">
      <c r="A35" s="78"/>
      <c r="B35" s="69"/>
      <c r="C35" s="69"/>
      <c r="D35" s="69"/>
      <c r="E35" s="69"/>
      <c r="F35" s="71" t="s">
        <v>72</v>
      </c>
      <c r="G35" s="72">
        <f>IRR(G2:G32,0.2)</f>
        <v>165.07265323447012</v>
      </c>
    </row>
    <row r="36" spans="1:7" ht="15.75" customHeight="1">
      <c r="A36" s="69"/>
      <c r="B36" s="69"/>
      <c r="C36" s="69"/>
      <c r="D36" s="69"/>
      <c r="E36" s="69"/>
      <c r="F36" s="71" t="s">
        <v>73</v>
      </c>
      <c r="G36" s="71">
        <v>1</v>
      </c>
    </row>
    <row r="37" spans="1:7" ht="15.75" customHeight="1">
      <c r="A37" s="69"/>
      <c r="B37" s="69"/>
      <c r="C37" s="69"/>
      <c r="D37" s="69"/>
      <c r="E37" s="69"/>
      <c r="F37" s="69"/>
      <c r="G37" s="69"/>
    </row>
    <row r="39" spans="1:7" ht="15.75" customHeight="1">
      <c r="C39" s="69"/>
      <c r="D39" s="69"/>
      <c r="E39" s="69"/>
      <c r="F39" s="69"/>
      <c r="G39" s="69"/>
    </row>
    <row r="40" spans="1:7" ht="15.75" customHeight="1">
      <c r="C40" s="69"/>
      <c r="D40" s="69"/>
      <c r="E40" s="69"/>
      <c r="F40" s="69"/>
      <c r="G40" s="69"/>
    </row>
    <row r="41" spans="1:7" ht="15.75" customHeight="1">
      <c r="C41" s="69"/>
      <c r="D41" s="69"/>
      <c r="E41" s="69"/>
      <c r="F41" s="69"/>
      <c r="G41" s="69"/>
    </row>
    <row r="42" spans="1:7" ht="15.75" customHeight="1">
      <c r="C42" s="69"/>
      <c r="D42" s="69"/>
      <c r="E42" s="69"/>
      <c r="F42" s="69"/>
      <c r="G42" s="69"/>
    </row>
    <row r="43" spans="1:7" ht="15.75" customHeight="1">
      <c r="C43" s="69"/>
      <c r="D43" s="69"/>
      <c r="E43" s="69"/>
      <c r="F43" s="69"/>
      <c r="G43" s="69"/>
    </row>
    <row r="44" spans="1:7" ht="15.75" customHeight="1">
      <c r="A44" s="73" t="s">
        <v>31</v>
      </c>
      <c r="B44" s="74" t="s">
        <v>35</v>
      </c>
      <c r="C44" s="69"/>
      <c r="D44" s="69"/>
      <c r="E44" s="69"/>
      <c r="F44" s="69"/>
      <c r="G44" s="69"/>
    </row>
    <row r="45" spans="1:7" ht="15.75" customHeight="1">
      <c r="A45" s="75" t="s">
        <v>74</v>
      </c>
      <c r="B45" s="77">
        <v>2250000</v>
      </c>
      <c r="C45" s="69"/>
      <c r="D45" s="69"/>
      <c r="E45" s="69"/>
      <c r="F45" s="69"/>
      <c r="G45" s="69"/>
    </row>
    <row r="46" spans="1:7" ht="15.75" customHeight="1">
      <c r="A46" s="75" t="s">
        <v>75</v>
      </c>
      <c r="B46" s="77">
        <v>1000000</v>
      </c>
      <c r="C46" s="69"/>
      <c r="D46" s="69"/>
      <c r="E46" s="69"/>
      <c r="F46" s="69"/>
      <c r="G46" s="69"/>
    </row>
    <row r="47" spans="1:7" ht="15.75" customHeight="1">
      <c r="A47" s="75" t="s">
        <v>76</v>
      </c>
      <c r="B47" s="77">
        <v>8400000</v>
      </c>
      <c r="C47" s="69"/>
      <c r="D47" s="69"/>
      <c r="E47" s="69"/>
      <c r="F47" s="69"/>
      <c r="G47" s="69"/>
    </row>
    <row r="48" spans="1:7" ht="15.75" customHeight="1">
      <c r="A48" s="75" t="s">
        <v>77</v>
      </c>
      <c r="B48" s="77">
        <v>2600000</v>
      </c>
    </row>
    <row r="49" spans="1:2" ht="15.75" customHeight="1">
      <c r="A49" s="75" t="s">
        <v>78</v>
      </c>
      <c r="B49" s="77">
        <v>14250000</v>
      </c>
    </row>
    <row r="50" spans="1:2" ht="15.75" customHeight="1">
      <c r="A50" s="73" t="s">
        <v>42</v>
      </c>
      <c r="B50" s="76"/>
    </row>
    <row r="51" spans="1:2" ht="15.75" customHeight="1">
      <c r="A51" s="75" t="s">
        <v>45</v>
      </c>
      <c r="B51" s="80">
        <v>7.3999999999999996E-2</v>
      </c>
    </row>
    <row r="52" spans="1:2" ht="15.75" customHeight="1">
      <c r="A52" s="75" t="s">
        <v>48</v>
      </c>
      <c r="B52" s="80">
        <v>0.03</v>
      </c>
    </row>
    <row r="54" spans="1:2" ht="15.75" customHeight="1">
      <c r="A54" s="76" t="s">
        <v>79</v>
      </c>
      <c r="B54" s="81">
        <v>4855000000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0</xdr:col>
                <xdr:colOff>822960</xdr:colOff>
                <xdr:row>33</xdr:row>
                <xdr:rowOff>60960</xdr:rowOff>
              </from>
              <to>
                <xdr:col>1</xdr:col>
                <xdr:colOff>266700</xdr:colOff>
                <xdr:row>38</xdr:row>
                <xdr:rowOff>182880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U38"/>
  <sheetViews>
    <sheetView topLeftCell="A21" workbookViewId="0">
      <selection activeCell="B5" sqref="B5"/>
    </sheetView>
  </sheetViews>
  <sheetFormatPr defaultColWidth="14.44140625" defaultRowHeight="15.75" customHeight="1"/>
  <cols>
    <col min="1" max="1" width="21.5546875" bestFit="1" customWidth="1"/>
    <col min="2" max="2" width="35" customWidth="1"/>
    <col min="3" max="5" width="35" style="30" customWidth="1"/>
    <col min="8" max="8" width="19.88671875" customWidth="1"/>
    <col min="9" max="9" width="21.6640625" customWidth="1"/>
    <col min="11" max="11" width="17.6640625" customWidth="1"/>
    <col min="14" max="14" width="34.88671875" customWidth="1"/>
  </cols>
  <sheetData>
    <row r="1" spans="1:21" ht="15.75" customHeight="1">
      <c r="A1" s="34" t="s">
        <v>32</v>
      </c>
      <c r="B1" s="34" t="s">
        <v>36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2"/>
      <c r="O1" s="32"/>
      <c r="P1" s="32"/>
      <c r="Q1" s="32"/>
      <c r="R1" s="32"/>
      <c r="S1" s="32"/>
      <c r="T1" s="32"/>
      <c r="U1" s="32"/>
    </row>
    <row r="2" spans="1:21" ht="15.75" customHeight="1">
      <c r="A2" s="36" t="s">
        <v>1</v>
      </c>
      <c r="B2" s="36" t="s">
        <v>10</v>
      </c>
      <c r="C2" s="36" t="s">
        <v>60</v>
      </c>
      <c r="D2" s="36" t="s">
        <v>31</v>
      </c>
      <c r="E2" s="99" t="s">
        <v>82</v>
      </c>
      <c r="F2" s="36" t="s">
        <v>3</v>
      </c>
      <c r="G2" s="36" t="s">
        <v>4</v>
      </c>
      <c r="H2" s="36" t="s">
        <v>37</v>
      </c>
      <c r="I2" s="36" t="s">
        <v>38</v>
      </c>
      <c r="J2" s="36" t="s">
        <v>6</v>
      </c>
      <c r="K2" s="36" t="s">
        <v>39</v>
      </c>
      <c r="L2" s="35"/>
      <c r="M2" s="37"/>
      <c r="N2" s="38" t="s">
        <v>16</v>
      </c>
      <c r="O2" s="39">
        <v>0.03</v>
      </c>
      <c r="P2" s="35"/>
      <c r="Q2" s="32"/>
      <c r="R2" s="32"/>
      <c r="S2" s="36" t="s">
        <v>40</v>
      </c>
      <c r="T2" s="38"/>
      <c r="U2" s="38"/>
    </row>
    <row r="3" spans="1:21" ht="15.75" customHeight="1">
      <c r="A3" s="40">
        <v>0</v>
      </c>
      <c r="B3" s="41">
        <v>8126539</v>
      </c>
      <c r="C3" s="42"/>
      <c r="D3" s="42"/>
      <c r="E3" s="42"/>
      <c r="F3" s="42">
        <f t="shared" ref="F3:F33" si="0">G3*H3</f>
        <v>0</v>
      </c>
      <c r="G3" s="38">
        <v>21676000</v>
      </c>
      <c r="H3" s="40">
        <v>0</v>
      </c>
      <c r="I3" s="43">
        <v>68</v>
      </c>
      <c r="J3" s="42">
        <f t="shared" ref="J3:J33" si="1">F3-B3</f>
        <v>-8126539</v>
      </c>
      <c r="K3" s="38"/>
      <c r="L3" s="35"/>
      <c r="M3" s="37"/>
      <c r="N3" s="38" t="s">
        <v>17</v>
      </c>
      <c r="O3" s="39">
        <v>0.05</v>
      </c>
      <c r="P3" s="44"/>
      <c r="Q3" s="32"/>
      <c r="R3" s="32"/>
      <c r="S3" s="38" t="s">
        <v>41</v>
      </c>
      <c r="T3" s="38"/>
      <c r="U3" s="43">
        <v>100000</v>
      </c>
    </row>
    <row r="4" spans="1:21" ht="15.75" customHeight="1">
      <c r="A4" s="40">
        <v>1</v>
      </c>
      <c r="B4" s="42">
        <v>22211098</v>
      </c>
      <c r="C4" s="42">
        <v>8240831</v>
      </c>
      <c r="D4" s="42">
        <v>21370530</v>
      </c>
      <c r="E4" s="98">
        <v>141915052.9034</v>
      </c>
      <c r="F4" s="42">
        <f>G4*H4</f>
        <v>30953327.999999989</v>
      </c>
      <c r="G4" s="45">
        <f t="shared" ref="G4:G33" si="2">$G$3*(1+$O$3)^A4</f>
        <v>22759800</v>
      </c>
      <c r="H4" s="46">
        <f t="shared" ref="H4:H33" si="3">I3-I4</f>
        <v>1.3599999999999994</v>
      </c>
      <c r="I4" s="43">
        <f t="shared" ref="I4:I33" si="4">$I$3*(1-0.02)^A4</f>
        <v>66.64</v>
      </c>
      <c r="J4" s="42">
        <f t="shared" si="1"/>
        <v>8742229.9999999888</v>
      </c>
      <c r="K4" s="45">
        <v>21676000</v>
      </c>
      <c r="L4" s="143"/>
      <c r="M4" s="144"/>
      <c r="N4" s="143" t="s">
        <v>61</v>
      </c>
      <c r="O4" s="144"/>
      <c r="P4" s="44"/>
      <c r="Q4" s="32"/>
      <c r="R4" s="32"/>
      <c r="S4" s="38" t="s">
        <v>43</v>
      </c>
      <c r="T4" s="38">
        <v>20</v>
      </c>
      <c r="U4" s="43">
        <v>5000</v>
      </c>
    </row>
    <row r="5" spans="1:21" ht="15.75" customHeight="1">
      <c r="A5" s="40">
        <v>2</v>
      </c>
      <c r="B5" s="42">
        <f t="shared" ref="B5:B33" si="5">$B$4*(1+$O$2)^A4</f>
        <v>22877430.940000001</v>
      </c>
      <c r="C5" s="42">
        <v>8218909</v>
      </c>
      <c r="D5" s="42">
        <v>14984252</v>
      </c>
      <c r="E5" s="98">
        <v>245700327.7563</v>
      </c>
      <c r="F5" s="42">
        <f t="shared" si="0"/>
        <v>31850974.512000144</v>
      </c>
      <c r="G5" s="45">
        <f t="shared" si="2"/>
        <v>23897790</v>
      </c>
      <c r="H5" s="46">
        <f t="shared" si="3"/>
        <v>1.332800000000006</v>
      </c>
      <c r="I5" s="43">
        <f t="shared" si="4"/>
        <v>65.307199999999995</v>
      </c>
      <c r="J5" s="42">
        <f t="shared" si="1"/>
        <v>8973543.5720001422</v>
      </c>
      <c r="K5" s="45">
        <f t="shared" ref="K5:K33" si="6">SUM($G$3:G4)</f>
        <v>44435800</v>
      </c>
      <c r="L5" s="35"/>
      <c r="M5" s="44"/>
      <c r="N5" s="38" t="s">
        <v>62</v>
      </c>
      <c r="O5" s="41">
        <f>U8</f>
        <v>10140000</v>
      </c>
      <c r="P5" s="44"/>
      <c r="Q5" s="32"/>
      <c r="R5" s="32"/>
      <c r="S5" s="47" t="s">
        <v>44</v>
      </c>
      <c r="T5" s="38"/>
      <c r="U5" s="43">
        <f>U6*T6</f>
        <v>40000</v>
      </c>
    </row>
    <row r="6" spans="1:21" ht="15.75" customHeight="1">
      <c r="A6" s="40">
        <v>3</v>
      </c>
      <c r="B6" s="42">
        <f t="shared" si="5"/>
        <v>23563753.8682</v>
      </c>
      <c r="C6" s="42">
        <v>13533812</v>
      </c>
      <c r="D6" s="42">
        <v>10163102</v>
      </c>
      <c r="E6" s="98">
        <v>318718796.49599999</v>
      </c>
      <c r="F6" s="42">
        <f t="shared" si="0"/>
        <v>32774652.772848088</v>
      </c>
      <c r="G6" s="45">
        <f t="shared" si="2"/>
        <v>25092679.500000004</v>
      </c>
      <c r="H6" s="46">
        <f t="shared" si="3"/>
        <v>1.3061440000000033</v>
      </c>
      <c r="I6" s="43">
        <f t="shared" si="4"/>
        <v>64.001055999999991</v>
      </c>
      <c r="J6" s="42">
        <f t="shared" si="1"/>
        <v>9210898.9046480879</v>
      </c>
      <c r="K6" s="45">
        <f t="shared" si="6"/>
        <v>68333590</v>
      </c>
      <c r="L6" s="35"/>
      <c r="M6" s="48"/>
      <c r="N6" s="38" t="s">
        <v>63</v>
      </c>
      <c r="O6" s="42">
        <f>U24</f>
        <v>15045787</v>
      </c>
      <c r="P6" s="44"/>
      <c r="Q6" s="32"/>
      <c r="R6" s="32"/>
      <c r="S6" s="38" t="s">
        <v>43</v>
      </c>
      <c r="T6" s="38">
        <v>20</v>
      </c>
      <c r="U6" s="43">
        <v>2000</v>
      </c>
    </row>
    <row r="7" spans="1:21" ht="15.75" customHeight="1">
      <c r="A7" s="40">
        <v>4</v>
      </c>
      <c r="B7" s="42">
        <f t="shared" si="5"/>
        <v>24270666.484246001</v>
      </c>
      <c r="C7" s="42">
        <v>10624617</v>
      </c>
      <c r="D7" s="42">
        <v>15025877</v>
      </c>
      <c r="E7" s="98">
        <v>242618302.57089999</v>
      </c>
      <c r="F7" s="42">
        <f t="shared" si="0"/>
        <v>33725117.703260615</v>
      </c>
      <c r="G7" s="45">
        <f t="shared" si="2"/>
        <v>26347313.475000001</v>
      </c>
      <c r="H7" s="46">
        <f t="shared" si="3"/>
        <v>1.2800211200000007</v>
      </c>
      <c r="I7" s="43">
        <f t="shared" si="4"/>
        <v>62.721034879999991</v>
      </c>
      <c r="J7" s="42">
        <f t="shared" si="1"/>
        <v>9454451.2190146148</v>
      </c>
      <c r="K7" s="45">
        <f t="shared" si="6"/>
        <v>93426269.5</v>
      </c>
      <c r="L7" s="35"/>
      <c r="M7" s="35"/>
      <c r="N7" s="49"/>
      <c r="O7" s="35"/>
      <c r="P7" s="44"/>
      <c r="Q7" s="32"/>
      <c r="R7" s="32"/>
      <c r="S7" s="47" t="s">
        <v>32</v>
      </c>
      <c r="T7" s="38"/>
      <c r="U7" s="43">
        <v>10000000</v>
      </c>
    </row>
    <row r="8" spans="1:21" ht="15.75" customHeight="1">
      <c r="A8" s="40">
        <v>5</v>
      </c>
      <c r="B8" s="42">
        <f t="shared" si="5"/>
        <v>24998786.478773378</v>
      </c>
      <c r="C8" s="42">
        <v>11648450</v>
      </c>
      <c r="D8" s="42">
        <v>15118032</v>
      </c>
      <c r="E8" s="98">
        <v>240097148.00389999</v>
      </c>
      <c r="F8" s="42">
        <f t="shared" si="0"/>
        <v>34703146.116655268</v>
      </c>
      <c r="G8" s="45">
        <f t="shared" si="2"/>
        <v>27664679.148750003</v>
      </c>
      <c r="H8" s="46">
        <f t="shared" si="3"/>
        <v>1.2544206976000041</v>
      </c>
      <c r="I8" s="43">
        <f t="shared" si="4"/>
        <v>61.466614182399987</v>
      </c>
      <c r="J8" s="42">
        <f t="shared" si="1"/>
        <v>9704359.6378818899</v>
      </c>
      <c r="K8" s="45">
        <f t="shared" si="6"/>
        <v>119773582.97499999</v>
      </c>
      <c r="L8" s="35"/>
      <c r="M8" s="35"/>
      <c r="N8" s="49"/>
      <c r="O8" s="35"/>
      <c r="P8" s="44"/>
      <c r="Q8" s="32"/>
      <c r="R8" s="32"/>
      <c r="S8" s="38" t="s">
        <v>46</v>
      </c>
      <c r="T8" s="38"/>
      <c r="U8" s="43">
        <f>U7+U5+U3</f>
        <v>10140000</v>
      </c>
    </row>
    <row r="9" spans="1:21" ht="15.75" customHeight="1">
      <c r="A9" s="40">
        <v>6</v>
      </c>
      <c r="B9" s="42">
        <f t="shared" si="5"/>
        <v>25748750.073136579</v>
      </c>
      <c r="C9" s="42">
        <v>12313844</v>
      </c>
      <c r="D9" s="42">
        <v>17966118</v>
      </c>
      <c r="E9" s="98">
        <v>193156450.5214</v>
      </c>
      <c r="F9" s="42">
        <f t="shared" si="0"/>
        <v>35709537.354038112</v>
      </c>
      <c r="G9" s="45">
        <f t="shared" si="2"/>
        <v>29047913.1061875</v>
      </c>
      <c r="H9" s="46">
        <f t="shared" si="3"/>
        <v>1.2293322836479987</v>
      </c>
      <c r="I9" s="43">
        <f t="shared" si="4"/>
        <v>60.237281898751988</v>
      </c>
      <c r="J9" s="42">
        <f t="shared" si="1"/>
        <v>9960787.2809015326</v>
      </c>
      <c r="K9" s="45">
        <f t="shared" si="6"/>
        <v>147438262.12375</v>
      </c>
      <c r="L9" s="35"/>
      <c r="M9" s="35"/>
      <c r="N9" s="49"/>
      <c r="O9" s="35"/>
      <c r="P9" s="44"/>
      <c r="Q9" s="32"/>
      <c r="R9" s="32"/>
      <c r="S9" s="47" t="s">
        <v>47</v>
      </c>
      <c r="T9" s="38"/>
      <c r="U9" s="43">
        <f>U8/1000000</f>
        <v>10.14</v>
      </c>
    </row>
    <row r="10" spans="1:21" ht="15.75" customHeight="1">
      <c r="A10" s="40">
        <v>7</v>
      </c>
      <c r="B10" s="42">
        <f t="shared" si="5"/>
        <v>26521212.575330678</v>
      </c>
      <c r="C10" s="42">
        <v>7529926</v>
      </c>
      <c r="D10" s="42">
        <v>14325826</v>
      </c>
      <c r="E10" s="98">
        <v>257087324.4296</v>
      </c>
      <c r="F10" s="42">
        <f t="shared" si="0"/>
        <v>36745113.937305175</v>
      </c>
      <c r="G10" s="45">
        <f t="shared" si="2"/>
        <v>30500308.761496879</v>
      </c>
      <c r="H10" s="46">
        <f t="shared" si="3"/>
        <v>1.2047456379750372</v>
      </c>
      <c r="I10" s="43">
        <f t="shared" si="4"/>
        <v>59.032536260776951</v>
      </c>
      <c r="J10" s="42">
        <f t="shared" si="1"/>
        <v>10223901.361974496</v>
      </c>
      <c r="K10" s="45">
        <f t="shared" si="6"/>
        <v>176486175.22993749</v>
      </c>
      <c r="L10" s="35"/>
      <c r="M10" s="35"/>
      <c r="N10" s="35"/>
      <c r="O10" s="35"/>
      <c r="P10" s="35"/>
      <c r="Q10" s="32"/>
      <c r="R10" s="32"/>
      <c r="S10" s="38"/>
      <c r="T10" s="38"/>
      <c r="U10" s="38"/>
    </row>
    <row r="11" spans="1:21" ht="15.75" customHeight="1">
      <c r="A11" s="40">
        <v>8</v>
      </c>
      <c r="B11" s="42">
        <f t="shared" si="5"/>
        <v>27316848.9525906</v>
      </c>
      <c r="C11" s="42">
        <v>6228630</v>
      </c>
      <c r="D11" s="42">
        <v>16191689</v>
      </c>
      <c r="E11" s="98">
        <v>228072339.04570001</v>
      </c>
      <c r="F11" s="42">
        <f t="shared" si="0"/>
        <v>37810722.24148722</v>
      </c>
      <c r="G11" s="45">
        <f t="shared" si="2"/>
        <v>32025324.199571721</v>
      </c>
      <c r="H11" s="46">
        <f t="shared" si="3"/>
        <v>1.1806507252155427</v>
      </c>
      <c r="I11" s="43">
        <f t="shared" si="4"/>
        <v>57.851885535561408</v>
      </c>
      <c r="J11" s="42">
        <f t="shared" si="1"/>
        <v>10493873.28889662</v>
      </c>
      <c r="K11" s="45">
        <f t="shared" si="6"/>
        <v>206986483.99143437</v>
      </c>
      <c r="L11" s="35"/>
      <c r="M11" s="35"/>
      <c r="N11" s="35"/>
      <c r="O11" s="35"/>
      <c r="P11" s="35"/>
      <c r="Q11" s="32"/>
      <c r="R11" s="32"/>
      <c r="S11" s="36" t="s">
        <v>49</v>
      </c>
      <c r="T11" s="38"/>
      <c r="U11" s="38"/>
    </row>
    <row r="12" spans="1:21" ht="15.75" customHeight="1">
      <c r="A12" s="40">
        <v>9</v>
      </c>
      <c r="B12" s="42">
        <f t="shared" si="5"/>
        <v>28136354.421168312</v>
      </c>
      <c r="C12" s="42">
        <v>10555501</v>
      </c>
      <c r="D12" s="42">
        <v>24943459</v>
      </c>
      <c r="E12" s="98">
        <v>81547931.609300002</v>
      </c>
      <c r="F12" s="42">
        <f t="shared" si="0"/>
        <v>38907233.186490268</v>
      </c>
      <c r="G12" s="45">
        <f t="shared" si="2"/>
        <v>33626590.409550309</v>
      </c>
      <c r="H12" s="46">
        <f t="shared" si="3"/>
        <v>1.1570377107112293</v>
      </c>
      <c r="I12" s="43">
        <f t="shared" si="4"/>
        <v>56.694847824850179</v>
      </c>
      <c r="J12" s="42">
        <f t="shared" si="1"/>
        <v>10770878.765321955</v>
      </c>
      <c r="K12" s="45">
        <f t="shared" si="6"/>
        <v>239011808.19100609</v>
      </c>
      <c r="L12" s="35"/>
      <c r="M12" s="35"/>
      <c r="N12" s="35"/>
      <c r="O12" s="35"/>
      <c r="P12" s="50"/>
      <c r="Q12" s="32"/>
      <c r="R12" s="32"/>
      <c r="S12" s="38" t="s">
        <v>50</v>
      </c>
      <c r="T12" s="38"/>
      <c r="U12" s="51">
        <v>4335200</v>
      </c>
    </row>
    <row r="13" spans="1:21" ht="15.75" customHeight="1">
      <c r="A13" s="40">
        <v>10</v>
      </c>
      <c r="B13" s="42">
        <f t="shared" si="5"/>
        <v>28980445.053803366</v>
      </c>
      <c r="C13" s="42">
        <v>6003672</v>
      </c>
      <c r="D13" s="42">
        <v>15766635</v>
      </c>
      <c r="E13" s="98">
        <v>235203515.06240001</v>
      </c>
      <c r="F13" s="42">
        <f t="shared" si="0"/>
        <v>40035542.948898718</v>
      </c>
      <c r="G13" s="45">
        <f t="shared" si="2"/>
        <v>35307919.93002782</v>
      </c>
      <c r="H13" s="46">
        <f t="shared" si="3"/>
        <v>1.1338969564970114</v>
      </c>
      <c r="I13" s="43">
        <f t="shared" si="4"/>
        <v>55.560950868353167</v>
      </c>
      <c r="J13" s="42">
        <f t="shared" si="1"/>
        <v>11055097.895095352</v>
      </c>
      <c r="K13" s="45">
        <f t="shared" si="6"/>
        <v>272638398.60055637</v>
      </c>
      <c r="L13" s="35"/>
      <c r="M13" s="35"/>
      <c r="N13" s="35"/>
      <c r="O13" s="35"/>
      <c r="P13" s="35"/>
      <c r="Q13" s="32"/>
      <c r="R13" s="32"/>
      <c r="S13" s="38" t="s">
        <v>51</v>
      </c>
      <c r="T13" s="38"/>
      <c r="U13" s="38">
        <v>3</v>
      </c>
    </row>
    <row r="14" spans="1:21" ht="15.75" customHeight="1">
      <c r="A14" s="40">
        <v>11</v>
      </c>
      <c r="B14" s="42">
        <f t="shared" si="5"/>
        <v>29849858.405417465</v>
      </c>
      <c r="C14" s="42">
        <v>9575816</v>
      </c>
      <c r="D14" s="42">
        <v>18227503</v>
      </c>
      <c r="E14" s="98">
        <v>191647531.5539</v>
      </c>
      <c r="F14" s="42">
        <f t="shared" si="0"/>
        <v>41196573.694416463</v>
      </c>
      <c r="G14" s="45">
        <f t="shared" si="2"/>
        <v>37073315.926529214</v>
      </c>
      <c r="H14" s="46">
        <f t="shared" si="3"/>
        <v>1.1112190173670626</v>
      </c>
      <c r="I14" s="43">
        <f t="shared" si="4"/>
        <v>54.449731850986105</v>
      </c>
      <c r="J14" s="42">
        <f t="shared" si="1"/>
        <v>11346715.288998999</v>
      </c>
      <c r="K14" s="45">
        <f t="shared" si="6"/>
        <v>307946318.53058422</v>
      </c>
      <c r="L14" s="35"/>
      <c r="M14" s="35"/>
      <c r="N14" s="35"/>
      <c r="O14" s="35"/>
      <c r="P14" s="50"/>
      <c r="Q14" s="32"/>
      <c r="R14" s="32"/>
      <c r="S14" s="38" t="s">
        <v>52</v>
      </c>
      <c r="T14" s="38"/>
      <c r="U14" s="51">
        <v>1445066.67</v>
      </c>
    </row>
    <row r="15" spans="1:21" ht="15.75" customHeight="1">
      <c r="A15" s="40">
        <v>12</v>
      </c>
      <c r="B15" s="42">
        <f t="shared" si="5"/>
        <v>30745354.157579988</v>
      </c>
      <c r="C15" s="42">
        <v>6627477</v>
      </c>
      <c r="D15" s="42">
        <v>22537322</v>
      </c>
      <c r="E15" s="98">
        <v>124570533.4751</v>
      </c>
      <c r="F15" s="42">
        <f t="shared" si="0"/>
        <v>42391274.331554629</v>
      </c>
      <c r="G15" s="45">
        <f t="shared" si="2"/>
        <v>38926981.722855672</v>
      </c>
      <c r="H15" s="46">
        <f t="shared" si="3"/>
        <v>1.0889946370197237</v>
      </c>
      <c r="I15" s="43">
        <f t="shared" si="4"/>
        <v>53.360737213966381</v>
      </c>
      <c r="J15" s="42">
        <f t="shared" si="1"/>
        <v>11645920.173974641</v>
      </c>
      <c r="K15" s="45">
        <f t="shared" si="6"/>
        <v>345019634.45711344</v>
      </c>
      <c r="L15" s="35"/>
      <c r="M15" s="35"/>
      <c r="N15" s="35"/>
      <c r="O15" s="35"/>
      <c r="P15" s="44"/>
      <c r="Q15" s="32"/>
      <c r="R15" s="32"/>
      <c r="S15" s="38" t="s">
        <v>53</v>
      </c>
      <c r="T15" s="38"/>
      <c r="U15" s="43">
        <v>2.5</v>
      </c>
    </row>
    <row r="16" spans="1:21" ht="15.75" customHeight="1">
      <c r="A16" s="40">
        <v>13</v>
      </c>
      <c r="B16" s="42">
        <f t="shared" si="5"/>
        <v>31667714.782307383</v>
      </c>
      <c r="C16" s="42">
        <v>12880949</v>
      </c>
      <c r="D16" s="42">
        <v>20458992</v>
      </c>
      <c r="E16" s="98">
        <v>152085476.99579999</v>
      </c>
      <c r="F16" s="42">
        <f t="shared" si="0"/>
        <v>43620621.287169889</v>
      </c>
      <c r="G16" s="45">
        <f t="shared" si="2"/>
        <v>40873330.808998466</v>
      </c>
      <c r="H16" s="46">
        <f t="shared" si="3"/>
        <v>1.0672147442793332</v>
      </c>
      <c r="I16" s="43">
        <f t="shared" si="4"/>
        <v>52.293522469687048</v>
      </c>
      <c r="J16" s="42">
        <f t="shared" si="1"/>
        <v>11952906.504862506</v>
      </c>
      <c r="K16" s="45">
        <f t="shared" si="6"/>
        <v>383946616.17996913</v>
      </c>
      <c r="L16" s="35"/>
      <c r="M16" s="35"/>
      <c r="N16" s="35"/>
      <c r="O16" s="35"/>
      <c r="P16" s="44"/>
      <c r="Q16" s="32"/>
      <c r="R16" s="32"/>
      <c r="S16" s="38" t="s">
        <v>54</v>
      </c>
      <c r="T16" s="38"/>
      <c r="U16" s="43">
        <v>3612666.67</v>
      </c>
    </row>
    <row r="17" spans="1:21" ht="15.75" customHeight="1">
      <c r="A17" s="40">
        <v>14</v>
      </c>
      <c r="B17" s="42">
        <f t="shared" si="5"/>
        <v>32617746.225776605</v>
      </c>
      <c r="C17" s="42">
        <v>13526755</v>
      </c>
      <c r="D17" s="42">
        <v>13879542</v>
      </c>
      <c r="E17" s="98">
        <v>258341655.52079999</v>
      </c>
      <c r="F17" s="42">
        <f t="shared" si="0"/>
        <v>44885619.304497473</v>
      </c>
      <c r="G17" s="45">
        <f t="shared" si="2"/>
        <v>42916997.349448375</v>
      </c>
      <c r="H17" s="46">
        <f t="shared" si="3"/>
        <v>1.045870449393739</v>
      </c>
      <c r="I17" s="43">
        <f t="shared" si="4"/>
        <v>51.247652020293309</v>
      </c>
      <c r="J17" s="42">
        <f t="shared" si="1"/>
        <v>12267873.078720868</v>
      </c>
      <c r="K17" s="45">
        <f t="shared" si="6"/>
        <v>424819946.9889676</v>
      </c>
      <c r="L17" s="35"/>
      <c r="M17" s="35"/>
      <c r="N17" s="35"/>
      <c r="O17" s="35"/>
      <c r="P17" s="35"/>
      <c r="Q17" s="32"/>
      <c r="R17" s="32"/>
      <c r="S17" s="38"/>
      <c r="T17" s="38"/>
      <c r="U17" s="38"/>
    </row>
    <row r="18" spans="1:21" ht="15.75" customHeight="1">
      <c r="A18" s="40">
        <v>15</v>
      </c>
      <c r="B18" s="42">
        <f t="shared" si="5"/>
        <v>33596278.612549908</v>
      </c>
      <c r="C18" s="42">
        <v>6945646</v>
      </c>
      <c r="D18" s="42">
        <v>17811239</v>
      </c>
      <c r="E18" s="98">
        <v>201041100.8786</v>
      </c>
      <c r="F18" s="42">
        <f t="shared" si="0"/>
        <v>46187302.26432813</v>
      </c>
      <c r="G18" s="45">
        <f t="shared" si="2"/>
        <v>45062847.216920808</v>
      </c>
      <c r="H18" s="46">
        <f t="shared" si="3"/>
        <v>1.0249530404058689</v>
      </c>
      <c r="I18" s="43">
        <f t="shared" si="4"/>
        <v>50.22269897988744</v>
      </c>
      <c r="J18" s="42">
        <f t="shared" si="1"/>
        <v>12591023.651778221</v>
      </c>
      <c r="K18" s="45">
        <f t="shared" si="6"/>
        <v>467736944.33841598</v>
      </c>
      <c r="L18" s="35"/>
      <c r="M18" s="35"/>
      <c r="N18" s="35"/>
      <c r="O18" s="35"/>
      <c r="P18" s="44"/>
      <c r="Q18" s="32"/>
      <c r="R18" s="32"/>
      <c r="S18" s="38" t="s">
        <v>55</v>
      </c>
      <c r="T18" s="38"/>
      <c r="U18" s="43">
        <v>33120</v>
      </c>
    </row>
    <row r="19" spans="1:21" ht="15.75" customHeight="1">
      <c r="A19" s="40">
        <v>16</v>
      </c>
      <c r="B19" s="42">
        <f t="shared" si="5"/>
        <v>34604166.970926404</v>
      </c>
      <c r="C19" s="42">
        <v>9502656</v>
      </c>
      <c r="D19" s="42">
        <v>14867177</v>
      </c>
      <c r="E19" s="98">
        <v>246318799.00229999</v>
      </c>
      <c r="F19" s="42">
        <f t="shared" si="0"/>
        <v>47526734.029993497</v>
      </c>
      <c r="G19" s="45">
        <f t="shared" si="2"/>
        <v>47315989.577766843</v>
      </c>
      <c r="H19" s="46">
        <f t="shared" si="3"/>
        <v>1.0044539795977485</v>
      </c>
      <c r="I19" s="43">
        <f t="shared" si="4"/>
        <v>49.218245000289691</v>
      </c>
      <c r="J19" s="42">
        <f t="shared" si="1"/>
        <v>12922567.059067093</v>
      </c>
      <c r="K19" s="45">
        <f t="shared" si="6"/>
        <v>512799791.55533677</v>
      </c>
      <c r="L19" s="35"/>
      <c r="M19" s="35"/>
      <c r="N19" s="35"/>
      <c r="O19" s="35"/>
      <c r="P19" s="44"/>
      <c r="Q19" s="32"/>
      <c r="R19" s="32"/>
      <c r="S19" s="38" t="s">
        <v>56</v>
      </c>
      <c r="T19" s="38"/>
      <c r="U19" s="43">
        <v>10000000</v>
      </c>
    </row>
    <row r="20" spans="1:21" ht="15.75" customHeight="1">
      <c r="A20" s="40">
        <v>17</v>
      </c>
      <c r="B20" s="42">
        <f t="shared" si="5"/>
        <v>35642291.980054192</v>
      </c>
      <c r="C20" s="42">
        <v>11284281</v>
      </c>
      <c r="D20" s="42">
        <v>15364599</v>
      </c>
      <c r="E20" s="98">
        <v>236455130.83050001</v>
      </c>
      <c r="F20" s="42">
        <f t="shared" si="0"/>
        <v>48905009.316863328</v>
      </c>
      <c r="G20" s="45">
        <f t="shared" si="2"/>
        <v>49681789.056655198</v>
      </c>
      <c r="H20" s="46">
        <f t="shared" si="3"/>
        <v>0.98436490000579369</v>
      </c>
      <c r="I20" s="43">
        <f t="shared" si="4"/>
        <v>48.233880100283898</v>
      </c>
      <c r="J20" s="42">
        <f t="shared" si="1"/>
        <v>13262717.336809136</v>
      </c>
      <c r="K20" s="45">
        <f t="shared" si="6"/>
        <v>560115781.13310361</v>
      </c>
      <c r="L20" s="35"/>
      <c r="M20" s="35"/>
      <c r="N20" s="35"/>
      <c r="O20" s="35"/>
      <c r="P20" s="35"/>
      <c r="Q20" s="32"/>
      <c r="R20" s="32"/>
      <c r="S20" s="38"/>
      <c r="T20" s="38"/>
      <c r="U20" s="38"/>
    </row>
    <row r="21" spans="1:21" ht="15.75" customHeight="1">
      <c r="A21" s="40">
        <v>18</v>
      </c>
      <c r="B21" s="42">
        <f t="shared" si="5"/>
        <v>36711560.739455819</v>
      </c>
      <c r="C21" s="42">
        <v>9459106</v>
      </c>
      <c r="D21" s="42">
        <v>20057892</v>
      </c>
      <c r="E21" s="98">
        <v>162024336.7667</v>
      </c>
      <c r="F21" s="42">
        <f t="shared" si="0"/>
        <v>50323254.587052435</v>
      </c>
      <c r="G21" s="45">
        <f t="shared" si="2"/>
        <v>52165878.509487957</v>
      </c>
      <c r="H21" s="46">
        <f t="shared" si="3"/>
        <v>0.96467760200567909</v>
      </c>
      <c r="I21" s="43">
        <f t="shared" si="4"/>
        <v>47.269202498278219</v>
      </c>
      <c r="J21" s="42">
        <f t="shared" si="1"/>
        <v>13611693.847596616</v>
      </c>
      <c r="K21" s="45">
        <f t="shared" si="6"/>
        <v>609797570.18975878</v>
      </c>
      <c r="L21" s="35"/>
      <c r="M21" s="35"/>
      <c r="N21" s="35"/>
      <c r="O21" s="35"/>
      <c r="P21" s="44"/>
      <c r="Q21" s="32"/>
      <c r="R21" s="32"/>
      <c r="S21" s="38" t="s">
        <v>57</v>
      </c>
      <c r="T21" s="38"/>
      <c r="U21" s="43">
        <v>1400000</v>
      </c>
    </row>
    <row r="22" spans="1:21" ht="15.75" customHeight="1">
      <c r="A22" s="40">
        <v>19</v>
      </c>
      <c r="B22" s="42">
        <f t="shared" si="5"/>
        <v>37812907.561639495</v>
      </c>
      <c r="C22" s="42">
        <v>11301784</v>
      </c>
      <c r="D22" s="42">
        <v>18070236</v>
      </c>
      <c r="E22" s="98">
        <v>192476815.80149999</v>
      </c>
      <c r="F22" s="42">
        <f t="shared" si="0"/>
        <v>51782628.970077105</v>
      </c>
      <c r="G22" s="45">
        <f t="shared" si="2"/>
        <v>54774172.434962355</v>
      </c>
      <c r="H22" s="46">
        <f t="shared" si="3"/>
        <v>0.94538404996556835</v>
      </c>
      <c r="I22" s="43">
        <f t="shared" si="4"/>
        <v>46.32381844831265</v>
      </c>
      <c r="J22" s="42">
        <f t="shared" si="1"/>
        <v>13969721.40843761</v>
      </c>
      <c r="K22" s="45">
        <f t="shared" si="6"/>
        <v>661963448.69924676</v>
      </c>
      <c r="L22" s="35"/>
      <c r="M22" s="35"/>
      <c r="N22" s="35"/>
      <c r="O22" s="35"/>
      <c r="P22" s="44"/>
      <c r="Q22" s="32"/>
      <c r="R22" s="32"/>
      <c r="S22" s="38" t="s">
        <v>43</v>
      </c>
      <c r="T22" s="38">
        <v>20</v>
      </c>
      <c r="U22" s="43">
        <v>70000</v>
      </c>
    </row>
    <row r="23" spans="1:21" ht="15.75" customHeight="1">
      <c r="A23" s="40">
        <v>20</v>
      </c>
      <c r="B23" s="42">
        <f t="shared" si="5"/>
        <v>38947294.788488679</v>
      </c>
      <c r="C23" s="42">
        <v>4183699</v>
      </c>
      <c r="D23" s="42">
        <v>16824592</v>
      </c>
      <c r="E23" s="98">
        <v>219833950.51109999</v>
      </c>
      <c r="F23" s="42">
        <f t="shared" si="0"/>
        <v>53284325.210208863</v>
      </c>
      <c r="G23" s="45">
        <f t="shared" si="2"/>
        <v>57512881.056710467</v>
      </c>
      <c r="H23" s="46">
        <f t="shared" si="3"/>
        <v>0.92647636896624874</v>
      </c>
      <c r="I23" s="43">
        <f t="shared" si="4"/>
        <v>45.397342079346402</v>
      </c>
      <c r="J23" s="42">
        <f t="shared" si="1"/>
        <v>14337030.421720184</v>
      </c>
      <c r="K23" s="45">
        <f t="shared" si="6"/>
        <v>716737621.13420916</v>
      </c>
      <c r="L23" s="35"/>
      <c r="M23" s="35"/>
      <c r="N23" s="35"/>
      <c r="O23" s="35"/>
      <c r="P23" s="35"/>
      <c r="Q23" s="32"/>
      <c r="R23" s="32"/>
      <c r="S23" s="38"/>
      <c r="T23" s="38"/>
      <c r="U23" s="38"/>
    </row>
    <row r="24" spans="1:21" ht="15.75" customHeight="1">
      <c r="A24" s="40">
        <v>21</v>
      </c>
      <c r="B24" s="42">
        <f t="shared" si="5"/>
        <v>40115713.632143334</v>
      </c>
      <c r="C24" s="42">
        <v>11364501</v>
      </c>
      <c r="D24" s="42">
        <v>16645541</v>
      </c>
      <c r="E24" s="98">
        <v>215562344.14770001</v>
      </c>
      <c r="F24" s="42">
        <f t="shared" si="0"/>
        <v>54829570.641305558</v>
      </c>
      <c r="G24" s="45">
        <f t="shared" si="2"/>
        <v>60388525.109545991</v>
      </c>
      <c r="H24" s="46">
        <f t="shared" si="3"/>
        <v>0.90794684158693428</v>
      </c>
      <c r="I24" s="43">
        <f t="shared" si="4"/>
        <v>44.489395237759467</v>
      </c>
      <c r="J24" s="42">
        <f t="shared" si="1"/>
        <v>14713857.009162225</v>
      </c>
      <c r="K24" s="45">
        <f t="shared" si="6"/>
        <v>774250502.19091964</v>
      </c>
      <c r="L24" s="35"/>
      <c r="M24" s="35"/>
      <c r="N24" s="35"/>
      <c r="O24" s="35"/>
      <c r="P24" s="52"/>
      <c r="Q24" s="32"/>
      <c r="R24" s="32"/>
      <c r="S24" s="38" t="s">
        <v>58</v>
      </c>
      <c r="T24" s="38"/>
      <c r="U24" s="41">
        <v>15045787</v>
      </c>
    </row>
    <row r="25" spans="1:21" ht="15.75" customHeight="1">
      <c r="A25" s="40">
        <v>22</v>
      </c>
      <c r="B25" s="42">
        <f t="shared" si="5"/>
        <v>41319185.041107632</v>
      </c>
      <c r="C25" s="42">
        <v>15904157</v>
      </c>
      <c r="D25" s="42">
        <v>14803213</v>
      </c>
      <c r="E25" s="98">
        <v>240956576.1392</v>
      </c>
      <c r="F25" s="42">
        <f t="shared" si="0"/>
        <v>56419628.189902946</v>
      </c>
      <c r="G25" s="45">
        <f t="shared" si="2"/>
        <v>63407951.365023285</v>
      </c>
      <c r="H25" s="46">
        <f t="shared" si="3"/>
        <v>0.88978790475518821</v>
      </c>
      <c r="I25" s="43">
        <f t="shared" si="4"/>
        <v>43.599607333004279</v>
      </c>
      <c r="J25" s="42">
        <f t="shared" si="1"/>
        <v>15100443.148795314</v>
      </c>
      <c r="K25" s="45">
        <f t="shared" si="6"/>
        <v>834639027.30046558</v>
      </c>
      <c r="L25" s="35"/>
      <c r="M25" s="35"/>
      <c r="N25" s="35"/>
      <c r="O25" s="35"/>
      <c r="P25" s="44"/>
      <c r="Q25" s="32"/>
      <c r="R25" s="32"/>
      <c r="S25" s="38" t="s">
        <v>59</v>
      </c>
      <c r="T25" s="38"/>
      <c r="U25" s="43">
        <v>15.05</v>
      </c>
    </row>
    <row r="26" spans="1:21" ht="15.75" customHeight="1">
      <c r="A26" s="40">
        <v>23</v>
      </c>
      <c r="B26" s="42">
        <f t="shared" si="5"/>
        <v>42558760.592340864</v>
      </c>
      <c r="C26" s="42">
        <v>16444374</v>
      </c>
      <c r="D26" s="42">
        <v>15730107</v>
      </c>
      <c r="E26" s="98">
        <v>225356314.9039</v>
      </c>
      <c r="F26" s="42">
        <f t="shared" si="0"/>
        <v>58055797.407410569</v>
      </c>
      <c r="G26" s="45">
        <f t="shared" si="2"/>
        <v>66578348.933274463</v>
      </c>
      <c r="H26" s="46">
        <f t="shared" si="3"/>
        <v>0.87199214666009084</v>
      </c>
      <c r="I26" s="43">
        <f t="shared" si="4"/>
        <v>42.727615186344188</v>
      </c>
      <c r="J26" s="42">
        <f t="shared" si="1"/>
        <v>15497036.815069705</v>
      </c>
      <c r="K26" s="45">
        <f t="shared" si="6"/>
        <v>898046978.66548884</v>
      </c>
      <c r="L26" s="35"/>
      <c r="M26" s="35"/>
      <c r="N26" s="32"/>
      <c r="O26" s="32"/>
      <c r="P26" s="32"/>
      <c r="Q26" s="32"/>
      <c r="R26" s="32"/>
      <c r="S26" s="32"/>
      <c r="T26" s="32"/>
      <c r="U26" s="32"/>
    </row>
    <row r="27" spans="1:21" ht="15.75" customHeight="1">
      <c r="A27" s="40">
        <v>24</v>
      </c>
      <c r="B27" s="42">
        <f t="shared" si="5"/>
        <v>43835523.410111092</v>
      </c>
      <c r="C27" s="42">
        <v>9717925</v>
      </c>
      <c r="D27" s="42">
        <v>15684313</v>
      </c>
      <c r="E27" s="98">
        <v>232826818.419</v>
      </c>
      <c r="F27" s="42">
        <f t="shared" si="0"/>
        <v>59739415.53222508</v>
      </c>
      <c r="G27" s="45">
        <f t="shared" si="2"/>
        <v>69907266.37993817</v>
      </c>
      <c r="H27" s="46">
        <f t="shared" si="3"/>
        <v>0.85455230372688362</v>
      </c>
      <c r="I27" s="43">
        <f t="shared" si="4"/>
        <v>41.873062882617305</v>
      </c>
      <c r="J27" s="42">
        <f t="shared" si="1"/>
        <v>15903892.122113988</v>
      </c>
      <c r="K27" s="45">
        <f t="shared" si="6"/>
        <v>964625327.59876335</v>
      </c>
      <c r="L27" s="35"/>
      <c r="M27" s="35"/>
      <c r="N27" s="32"/>
      <c r="O27" s="32"/>
      <c r="P27" s="32"/>
      <c r="Q27" s="32"/>
      <c r="R27" s="32"/>
      <c r="S27" s="32"/>
      <c r="T27" s="32"/>
      <c r="U27" s="32"/>
    </row>
    <row r="28" spans="1:21" ht="15.75" customHeight="1">
      <c r="A28" s="40">
        <v>25</v>
      </c>
      <c r="B28" s="42">
        <f t="shared" si="5"/>
        <v>45150589.11241442</v>
      </c>
      <c r="C28" s="42">
        <v>10903343</v>
      </c>
      <c r="D28" s="42">
        <v>11453072</v>
      </c>
      <c r="E28" s="98">
        <v>300390013.13029999</v>
      </c>
      <c r="F28" s="42">
        <f t="shared" si="0"/>
        <v>61471858.582659945</v>
      </c>
      <c r="G28" s="45">
        <f t="shared" si="2"/>
        <v>73402629.698935091</v>
      </c>
      <c r="H28" s="46">
        <f t="shared" si="3"/>
        <v>0.83746125765235035</v>
      </c>
      <c r="I28" s="43">
        <f t="shared" si="4"/>
        <v>41.035601624964954</v>
      </c>
      <c r="J28" s="42">
        <f t="shared" si="1"/>
        <v>16321269.470245525</v>
      </c>
      <c r="K28" s="45">
        <f t="shared" si="6"/>
        <v>1034532593.9787015</v>
      </c>
      <c r="L28" s="35"/>
      <c r="M28" s="35"/>
      <c r="N28" s="32"/>
      <c r="O28" s="32"/>
      <c r="P28" s="32"/>
      <c r="Q28" s="32"/>
      <c r="R28" s="32"/>
      <c r="S28" s="32"/>
      <c r="T28" s="32"/>
      <c r="U28" s="32"/>
    </row>
    <row r="29" spans="1:21" ht="15.75" customHeight="1">
      <c r="A29" s="40">
        <v>26</v>
      </c>
      <c r="B29" s="42">
        <f t="shared" si="5"/>
        <v>46505106.785786852</v>
      </c>
      <c r="C29" s="42">
        <v>11880558</v>
      </c>
      <c r="D29" s="42">
        <v>20453974</v>
      </c>
      <c r="E29" s="98">
        <v>153167399.7588</v>
      </c>
      <c r="F29" s="42">
        <f t="shared" si="0"/>
        <v>63254542.481556386</v>
      </c>
      <c r="G29" s="45">
        <f t="shared" si="2"/>
        <v>77072761.183881849</v>
      </c>
      <c r="H29" s="46">
        <f t="shared" si="3"/>
        <v>0.82071203249929425</v>
      </c>
      <c r="I29" s="43">
        <f t="shared" si="4"/>
        <v>40.21488959246566</v>
      </c>
      <c r="J29" s="42">
        <f t="shared" si="1"/>
        <v>16749435.695769534</v>
      </c>
      <c r="K29" s="45">
        <f t="shared" si="6"/>
        <v>1107935223.6776366</v>
      </c>
      <c r="L29" s="35"/>
      <c r="M29" s="35"/>
      <c r="N29" s="32"/>
      <c r="O29" s="32"/>
      <c r="P29" s="32"/>
      <c r="Q29" s="32"/>
      <c r="R29" s="32"/>
      <c r="S29" s="32"/>
      <c r="T29" s="32"/>
      <c r="U29" s="32"/>
    </row>
    <row r="30" spans="1:21" ht="15.75" customHeight="1">
      <c r="A30" s="40">
        <v>27</v>
      </c>
      <c r="B30" s="42">
        <f t="shared" si="5"/>
        <v>47900259.989360459</v>
      </c>
      <c r="C30" s="42">
        <v>15677889</v>
      </c>
      <c r="D30" s="42">
        <v>5006933</v>
      </c>
      <c r="E30" s="98">
        <v>400351433.14929998</v>
      </c>
      <c r="F30" s="42">
        <f t="shared" si="0"/>
        <v>65088924.213522635</v>
      </c>
      <c r="G30" s="45">
        <f t="shared" si="2"/>
        <v>80926399.243075937</v>
      </c>
      <c r="H30" s="46">
        <f t="shared" si="3"/>
        <v>0.80429779184932215</v>
      </c>
      <c r="I30" s="43">
        <f t="shared" si="4"/>
        <v>39.410591800616338</v>
      </c>
      <c r="J30" s="42">
        <f t="shared" si="1"/>
        <v>17188664.224162176</v>
      </c>
      <c r="K30" s="45">
        <f t="shared" si="6"/>
        <v>1185007984.8615184</v>
      </c>
      <c r="L30" s="35"/>
      <c r="M30" s="35"/>
      <c r="N30" s="32"/>
      <c r="O30" s="32"/>
      <c r="P30" s="32"/>
      <c r="Q30" s="32"/>
      <c r="R30" s="32"/>
      <c r="S30" s="32"/>
      <c r="T30" s="32"/>
      <c r="U30" s="32"/>
    </row>
    <row r="31" spans="1:21" ht="15.75" customHeight="1">
      <c r="A31" s="40">
        <v>28</v>
      </c>
      <c r="B31" s="42">
        <f t="shared" si="5"/>
        <v>49337267.789041273</v>
      </c>
      <c r="C31" s="42">
        <v>13523525</v>
      </c>
      <c r="D31" s="42">
        <v>15609796</v>
      </c>
      <c r="E31" s="98">
        <v>230231960.22580001</v>
      </c>
      <c r="F31" s="42">
        <f t="shared" si="0"/>
        <v>66976503.015713699</v>
      </c>
      <c r="G31" s="45">
        <f t="shared" si="2"/>
        <v>84972719.205229729</v>
      </c>
      <c r="H31" s="46">
        <f t="shared" si="3"/>
        <v>0.78821183601232292</v>
      </c>
      <c r="I31" s="43">
        <f t="shared" si="4"/>
        <v>38.622379964604015</v>
      </c>
      <c r="J31" s="42">
        <f t="shared" si="1"/>
        <v>17639235.226672426</v>
      </c>
      <c r="K31" s="45">
        <f t="shared" si="6"/>
        <v>1265934384.1045942</v>
      </c>
      <c r="L31" s="35"/>
      <c r="M31" s="35"/>
      <c r="N31" s="32"/>
      <c r="O31" s="32"/>
      <c r="P31" s="32"/>
      <c r="Q31" s="32"/>
      <c r="R31" s="32"/>
      <c r="S31" s="32"/>
      <c r="T31" s="32"/>
      <c r="U31" s="32"/>
    </row>
    <row r="32" spans="1:21" ht="15.75" customHeight="1">
      <c r="A32" s="40">
        <v>29</v>
      </c>
      <c r="B32" s="42">
        <f t="shared" si="5"/>
        <v>50817385.822712511</v>
      </c>
      <c r="C32" s="42">
        <v>11518494</v>
      </c>
      <c r="D32" s="42">
        <v>17090743</v>
      </c>
      <c r="E32" s="98">
        <v>208174771.2414</v>
      </c>
      <c r="F32" s="42">
        <f t="shared" si="0"/>
        <v>68918821.60316962</v>
      </c>
      <c r="G32" s="45">
        <f t="shared" si="2"/>
        <v>89221355.165491238</v>
      </c>
      <c r="H32" s="46">
        <f t="shared" si="3"/>
        <v>0.77244759929207873</v>
      </c>
      <c r="I32" s="43">
        <f t="shared" si="4"/>
        <v>37.849932365311936</v>
      </c>
      <c r="J32" s="42">
        <f t="shared" si="1"/>
        <v>18101435.780457109</v>
      </c>
      <c r="K32" s="45">
        <f t="shared" si="6"/>
        <v>1350907103.309824</v>
      </c>
      <c r="L32" s="35"/>
      <c r="M32" s="35"/>
      <c r="N32" s="32"/>
      <c r="O32" s="32"/>
      <c r="P32" s="32"/>
      <c r="Q32" s="32"/>
      <c r="R32" s="32"/>
      <c r="S32" s="32"/>
      <c r="T32" s="32"/>
      <c r="U32" s="32"/>
    </row>
    <row r="33" spans="1:21" ht="15.75" customHeight="1">
      <c r="A33" s="40">
        <v>30</v>
      </c>
      <c r="B33" s="42">
        <f t="shared" si="5"/>
        <v>52341907.397393875</v>
      </c>
      <c r="C33" s="42">
        <v>8126539</v>
      </c>
      <c r="D33" s="42">
        <v>22211098</v>
      </c>
      <c r="E33" s="98">
        <v>128371913.45730001</v>
      </c>
      <c r="F33" s="42">
        <f t="shared" si="0"/>
        <v>70917467.429661766</v>
      </c>
      <c r="G33" s="45">
        <f t="shared" si="2"/>
        <v>93682422.923765764</v>
      </c>
      <c r="H33" s="46">
        <f t="shared" si="3"/>
        <v>0.75699864730624</v>
      </c>
      <c r="I33" s="43">
        <f t="shared" si="4"/>
        <v>37.092933718005696</v>
      </c>
      <c r="J33" s="42">
        <f t="shared" si="1"/>
        <v>18575560.032267891</v>
      </c>
      <c r="K33" s="45">
        <f t="shared" si="6"/>
        <v>1440128458.4753153</v>
      </c>
      <c r="L33" s="35"/>
      <c r="M33" s="35"/>
      <c r="N33" s="32"/>
      <c r="O33" s="32"/>
      <c r="P33" s="32"/>
      <c r="Q33" s="32"/>
      <c r="R33" s="32"/>
      <c r="S33" s="32"/>
      <c r="T33" s="32"/>
      <c r="U33" s="32"/>
    </row>
    <row r="34" spans="1:21" ht="15.75" customHeight="1">
      <c r="A34" s="35"/>
      <c r="B34" s="35"/>
      <c r="C34" s="35"/>
      <c r="D34" s="35"/>
      <c r="E34" s="35"/>
      <c r="H34" s="35"/>
      <c r="I34" s="46" t="s">
        <v>28</v>
      </c>
      <c r="J34" s="41">
        <f t="array" ref="J34">NPV(0.074,J4:J33) + J3</f>
        <v>128371913.4572677</v>
      </c>
      <c r="K34" s="35"/>
      <c r="L34" s="35"/>
      <c r="M34" s="35"/>
      <c r="N34" s="32"/>
      <c r="O34" s="32"/>
      <c r="P34" s="32"/>
      <c r="Q34" s="32"/>
      <c r="R34" s="32"/>
      <c r="S34" s="32"/>
      <c r="T34" s="32"/>
      <c r="U34" s="32"/>
    </row>
    <row r="35" spans="1:21" ht="15.75" customHeight="1">
      <c r="A35" s="35"/>
      <c r="B35" s="35"/>
      <c r="C35" s="35"/>
      <c r="D35" s="35"/>
      <c r="E35" s="35"/>
      <c r="H35" s="35"/>
      <c r="I35" s="38" t="s">
        <v>29</v>
      </c>
      <c r="J35" s="40">
        <v>5</v>
      </c>
      <c r="K35" s="35"/>
      <c r="L35" s="35"/>
      <c r="M35" s="35"/>
      <c r="N35" s="32"/>
      <c r="O35" s="32"/>
      <c r="P35" s="32"/>
      <c r="Q35" s="32"/>
      <c r="R35" s="32"/>
      <c r="S35" s="32"/>
      <c r="T35" s="32"/>
      <c r="U35" s="32"/>
    </row>
    <row r="36" spans="1:21" ht="13.2">
      <c r="A36" s="35"/>
      <c r="B36" s="35"/>
      <c r="C36" s="35"/>
      <c r="D36" s="35"/>
      <c r="E36" s="35"/>
      <c r="H36" s="35"/>
      <c r="I36" s="38" t="s">
        <v>30</v>
      </c>
      <c r="J36" s="39">
        <f>IRR(J3:J33,0.02)</f>
        <v>1.102213925640827</v>
      </c>
      <c r="K36" s="35"/>
      <c r="L36" s="35"/>
      <c r="M36" s="35"/>
      <c r="N36" s="32"/>
      <c r="O36" s="32"/>
      <c r="P36" s="32"/>
      <c r="Q36" s="32"/>
      <c r="R36" s="32"/>
      <c r="S36" s="32"/>
      <c r="T36" s="32"/>
      <c r="U36" s="32"/>
    </row>
    <row r="37" spans="1:21" ht="13.2">
      <c r="A37" s="35"/>
      <c r="B37" s="35"/>
      <c r="C37" s="35"/>
      <c r="D37" s="35"/>
      <c r="E37" s="35"/>
      <c r="F37" s="35"/>
      <c r="G37" s="35"/>
      <c r="H37" s="35"/>
      <c r="K37" s="35"/>
      <c r="L37" s="35"/>
      <c r="M37" s="35"/>
      <c r="N37" s="32"/>
      <c r="O37" s="32"/>
      <c r="P37" s="32"/>
      <c r="Q37" s="32"/>
      <c r="R37" s="32"/>
      <c r="S37" s="32"/>
      <c r="T37" s="32"/>
      <c r="U37" s="32"/>
    </row>
    <row r="38" spans="1:21" ht="15.75" customHeight="1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</row>
  </sheetData>
  <mergeCells count="2">
    <mergeCell ref="L4:M4"/>
    <mergeCell ref="N4:O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137160</xdr:colOff>
                <xdr:row>34</xdr:row>
                <xdr:rowOff>106680</xdr:rowOff>
              </from>
              <to>
                <xdr:col>1</xdr:col>
                <xdr:colOff>2346960</xdr:colOff>
                <xdr:row>40</xdr:row>
                <xdr:rowOff>91440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M37"/>
  <sheetViews>
    <sheetView topLeftCell="A18" workbookViewId="0">
      <selection activeCell="G17" sqref="G17"/>
    </sheetView>
  </sheetViews>
  <sheetFormatPr defaultColWidth="14.44140625" defaultRowHeight="15.75" customHeight="1"/>
  <cols>
    <col min="2" max="2" width="41.109375" bestFit="1" customWidth="1"/>
    <col min="3" max="3" width="15.44140625" bestFit="1" customWidth="1"/>
    <col min="5" max="5" width="16.5546875" bestFit="1" customWidth="1"/>
    <col min="6" max="6" width="15.44140625" bestFit="1" customWidth="1"/>
    <col min="9" max="9" width="16.109375" bestFit="1" customWidth="1"/>
    <col min="10" max="10" width="22.5546875" bestFit="1" customWidth="1"/>
    <col min="11" max="11" width="17.33203125" bestFit="1" customWidth="1"/>
  </cols>
  <sheetData>
    <row r="1" spans="1:13" ht="15.75" customHeight="1">
      <c r="A1" s="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69"/>
      <c r="L1" s="69"/>
      <c r="M1" s="69"/>
    </row>
    <row r="2" spans="1:13" ht="15.75" customHeight="1">
      <c r="A2" s="4" t="s">
        <v>1</v>
      </c>
      <c r="B2" s="4" t="s">
        <v>10</v>
      </c>
      <c r="C2" s="4" t="s">
        <v>33</v>
      </c>
      <c r="D2" s="4" t="s">
        <v>34</v>
      </c>
      <c r="E2" s="4" t="s">
        <v>88</v>
      </c>
      <c r="F2" s="4" t="s">
        <v>3</v>
      </c>
      <c r="G2" s="4" t="s">
        <v>4</v>
      </c>
      <c r="H2" s="4" t="s">
        <v>83</v>
      </c>
      <c r="I2" s="4" t="s">
        <v>6</v>
      </c>
      <c r="J2" s="4" t="s">
        <v>7</v>
      </c>
      <c r="K2" s="6" t="s">
        <v>8</v>
      </c>
      <c r="L2" s="6" t="s">
        <v>11</v>
      </c>
      <c r="M2" s="100"/>
    </row>
    <row r="3" spans="1:13" ht="15.75" customHeight="1">
      <c r="A3" s="19">
        <v>0</v>
      </c>
      <c r="B3" s="21">
        <v>10362960.3791</v>
      </c>
      <c r="C3" s="19"/>
      <c r="D3" s="19"/>
      <c r="E3" s="19"/>
      <c r="F3" s="19"/>
      <c r="G3" s="19"/>
      <c r="H3" s="19"/>
      <c r="I3" s="21">
        <f t="shared" ref="I3:I33" si="0">F3-B3</f>
        <v>-10362960.3791</v>
      </c>
      <c r="J3" s="21">
        <f>SUM(I$3:I3)</f>
        <v>-10362960.3791</v>
      </c>
      <c r="K3" s="15">
        <f t="shared" ref="K3:K33" si="1">SUM(G$3:G3)</f>
        <v>0</v>
      </c>
      <c r="L3" s="23" t="s">
        <v>16</v>
      </c>
      <c r="M3" s="101">
        <v>0.03</v>
      </c>
    </row>
    <row r="4" spans="1:13" ht="15.75" customHeight="1">
      <c r="A4" s="19">
        <v>1</v>
      </c>
      <c r="B4" s="21">
        <v>99566.567999999999</v>
      </c>
      <c r="C4" s="102">
        <v>9477151.3536806293</v>
      </c>
      <c r="D4" s="103">
        <v>94116.396948346504</v>
      </c>
      <c r="E4" s="96">
        <v>260689437.34349999</v>
      </c>
      <c r="F4" s="21">
        <f t="shared" ref="F4:F33" si="2">G4*H4</f>
        <v>10838000</v>
      </c>
      <c r="G4" s="19">
        <v>21676000</v>
      </c>
      <c r="H4" s="19">
        <v>0.5</v>
      </c>
      <c r="I4" s="21">
        <f t="shared" si="0"/>
        <v>10738433.432</v>
      </c>
      <c r="J4" s="21">
        <f t="shared" ref="J4:J33" si="3">SUM($I$3:I4)</f>
        <v>375473.05289999954</v>
      </c>
      <c r="K4" s="15">
        <f t="shared" si="1"/>
        <v>21676000</v>
      </c>
      <c r="L4" s="23" t="s">
        <v>17</v>
      </c>
      <c r="M4" s="104">
        <v>7.3999999999999996E-2</v>
      </c>
    </row>
    <row r="5" spans="1:13" ht="15.75" customHeight="1">
      <c r="A5" s="19">
        <v>2</v>
      </c>
      <c r="B5" s="21">
        <f t="shared" ref="B5:B12" si="4">$B$4*(1+$M$3)^A5</f>
        <v>105630.1719912</v>
      </c>
      <c r="C5" s="105">
        <v>9183242.4463790786</v>
      </c>
      <c r="D5" s="106">
        <v>90047.736618572249</v>
      </c>
      <c r="E5" s="96">
        <v>261265748.94010001</v>
      </c>
      <c r="F5" s="21">
        <f t="shared" si="2"/>
        <v>12252595.677300001</v>
      </c>
      <c r="G5" s="19">
        <v>25002746</v>
      </c>
      <c r="H5" s="19">
        <f t="shared" ref="H5:H33" si="5">$H$4*(1-0.01)^A5</f>
        <v>0.49004999999999999</v>
      </c>
      <c r="I5" s="21">
        <f t="shared" si="0"/>
        <v>12146965.505308801</v>
      </c>
      <c r="J5" s="21">
        <f t="shared" si="3"/>
        <v>12522438.558208801</v>
      </c>
      <c r="K5" s="15">
        <f t="shared" si="1"/>
        <v>46678746</v>
      </c>
      <c r="L5" s="23" t="s">
        <v>84</v>
      </c>
      <c r="M5" s="107" t="s">
        <v>85</v>
      </c>
    </row>
    <row r="6" spans="1:13" ht="15.75" customHeight="1">
      <c r="A6" s="19">
        <v>3</v>
      </c>
      <c r="B6" s="21">
        <f t="shared" si="4"/>
        <v>108799.07715093601</v>
      </c>
      <c r="C6" s="105">
        <v>10723501.194774499</v>
      </c>
      <c r="D6" s="106">
        <v>103265.24037487429</v>
      </c>
      <c r="E6" s="96">
        <v>258380939.31209999</v>
      </c>
      <c r="F6" s="21">
        <f t="shared" si="2"/>
        <v>13027694.780875498</v>
      </c>
      <c r="G6" s="19">
        <v>26852949</v>
      </c>
      <c r="H6" s="19">
        <f t="shared" si="5"/>
        <v>0.48514949999999996</v>
      </c>
      <c r="I6" s="21">
        <f t="shared" si="0"/>
        <v>12918895.703724563</v>
      </c>
      <c r="J6" s="21">
        <f t="shared" si="3"/>
        <v>25441334.261933364</v>
      </c>
      <c r="K6" s="15">
        <f t="shared" si="1"/>
        <v>73531695</v>
      </c>
      <c r="L6" s="23" t="s">
        <v>86</v>
      </c>
      <c r="M6" s="107">
        <v>0</v>
      </c>
    </row>
    <row r="7" spans="1:13" ht="15.75" customHeight="1">
      <c r="A7" s="19">
        <v>4</v>
      </c>
      <c r="B7" s="21">
        <f t="shared" si="4"/>
        <v>112063.04946546406</v>
      </c>
      <c r="C7" s="105">
        <v>10178645.79523259</v>
      </c>
      <c r="D7" s="106">
        <v>104165.63957392021</v>
      </c>
      <c r="E7" s="96">
        <v>259308259.6832</v>
      </c>
      <c r="F7" s="21">
        <f t="shared" si="2"/>
        <v>13851827.124464339</v>
      </c>
      <c r="G7" s="19">
        <v>28840068</v>
      </c>
      <c r="H7" s="19">
        <f t="shared" si="5"/>
        <v>0.48029800499999997</v>
      </c>
      <c r="I7" s="21">
        <f t="shared" si="0"/>
        <v>13739764.074998874</v>
      </c>
      <c r="J7" s="21">
        <f t="shared" si="3"/>
        <v>39181098.336932242</v>
      </c>
      <c r="K7" s="15">
        <f t="shared" si="1"/>
        <v>102371763</v>
      </c>
      <c r="L7" s="69"/>
      <c r="M7" s="108"/>
    </row>
    <row r="8" spans="1:13" ht="15.75" customHeight="1">
      <c r="A8" s="19">
        <v>5</v>
      </c>
      <c r="B8" s="21">
        <f t="shared" si="4"/>
        <v>115424.94094942798</v>
      </c>
      <c r="C8" s="105">
        <v>10229897.424073439</v>
      </c>
      <c r="D8" s="106">
        <v>92178.272303387828</v>
      </c>
      <c r="E8" s="96">
        <v>259419893.87959999</v>
      </c>
      <c r="F8" s="21">
        <f t="shared" si="2"/>
        <v>14728093.693142112</v>
      </c>
      <c r="G8" s="19">
        <v>30974233</v>
      </c>
      <c r="H8" s="19">
        <f t="shared" si="5"/>
        <v>0.47549502494999996</v>
      </c>
      <c r="I8" s="21">
        <f t="shared" si="0"/>
        <v>14612668.752192684</v>
      </c>
      <c r="J8" s="21">
        <f t="shared" si="3"/>
        <v>53793767.089124925</v>
      </c>
      <c r="K8" s="15">
        <f t="shared" si="1"/>
        <v>133345996</v>
      </c>
      <c r="L8" s="69"/>
      <c r="M8" s="69"/>
    </row>
    <row r="9" spans="1:13" ht="15.75" customHeight="1">
      <c r="A9" s="19">
        <v>6</v>
      </c>
      <c r="B9" s="21">
        <f t="shared" si="4"/>
        <v>118887.68917791083</v>
      </c>
      <c r="C9" s="105">
        <v>9254352.3890049141</v>
      </c>
      <c r="D9" s="106">
        <v>101581.75470838856</v>
      </c>
      <c r="E9" s="96">
        <v>260950056.53380001</v>
      </c>
      <c r="F9" s="21">
        <f t="shared" si="2"/>
        <v>15659792.786251184</v>
      </c>
      <c r="G9" s="19">
        <v>33266326</v>
      </c>
      <c r="H9" s="19">
        <f t="shared" si="5"/>
        <v>0.47074007470049994</v>
      </c>
      <c r="I9" s="21">
        <f t="shared" si="0"/>
        <v>15540905.097073272</v>
      </c>
      <c r="J9" s="21">
        <f t="shared" si="3"/>
        <v>69334672.186198205</v>
      </c>
      <c r="K9" s="15">
        <f t="shared" si="1"/>
        <v>166612322</v>
      </c>
      <c r="L9" s="69"/>
      <c r="M9" s="69"/>
    </row>
    <row r="10" spans="1:13" ht="15.75" customHeight="1">
      <c r="A10" s="19">
        <v>7</v>
      </c>
      <c r="B10" s="21">
        <f t="shared" si="4"/>
        <v>122454.31985324816</v>
      </c>
      <c r="C10" s="105">
        <v>8502032.6662801523</v>
      </c>
      <c r="D10" s="106">
        <v>102840.12941210919</v>
      </c>
      <c r="E10" s="96">
        <v>262230219.42930001</v>
      </c>
      <c r="F10" s="21">
        <f t="shared" si="2"/>
        <v>16650431.220121382</v>
      </c>
      <c r="G10" s="19">
        <v>35728034</v>
      </c>
      <c r="H10" s="19">
        <f t="shared" si="5"/>
        <v>0.46603267395349496</v>
      </c>
      <c r="I10" s="21">
        <f t="shared" si="0"/>
        <v>16527976.900268134</v>
      </c>
      <c r="J10" s="21">
        <f t="shared" si="3"/>
        <v>85862649.086466342</v>
      </c>
      <c r="K10" s="15">
        <f t="shared" si="1"/>
        <v>202340356</v>
      </c>
      <c r="L10" s="69"/>
      <c r="M10" s="69"/>
    </row>
    <row r="11" spans="1:13" ht="15.75" customHeight="1">
      <c r="A11" s="19">
        <v>8</v>
      </c>
      <c r="B11" s="21">
        <f t="shared" si="4"/>
        <v>126127.9494488456</v>
      </c>
      <c r="C11" s="105">
        <v>9552457.3006912675</v>
      </c>
      <c r="D11" s="106">
        <v>110028.9432099328</v>
      </c>
      <c r="E11" s="96">
        <v>260293334.00760001</v>
      </c>
      <c r="F11" s="21">
        <f t="shared" si="2"/>
        <v>17703737.261038128</v>
      </c>
      <c r="G11" s="19">
        <v>38371908</v>
      </c>
      <c r="H11" s="19">
        <f t="shared" si="5"/>
        <v>0.46137234721395998</v>
      </c>
      <c r="I11" s="21">
        <f t="shared" si="0"/>
        <v>17577609.311589282</v>
      </c>
      <c r="J11" s="21">
        <f t="shared" si="3"/>
        <v>103440258.39805563</v>
      </c>
      <c r="K11" s="15">
        <f t="shared" si="1"/>
        <v>240712264</v>
      </c>
      <c r="L11" s="69"/>
      <c r="M11" s="69"/>
    </row>
    <row r="12" spans="1:13" ht="15.75" customHeight="1">
      <c r="A12" s="19">
        <v>9</v>
      </c>
      <c r="B12" s="21">
        <f t="shared" si="4"/>
        <v>129911.78793231097</v>
      </c>
      <c r="C12" s="105">
        <v>10238017.530884983</v>
      </c>
      <c r="D12" s="106">
        <v>109058.70101652417</v>
      </c>
      <c r="E12" s="96">
        <v>259123822.162</v>
      </c>
      <c r="F12" s="21">
        <f t="shared" si="2"/>
        <v>18823676.049232367</v>
      </c>
      <c r="G12" s="19">
        <v>41211430</v>
      </c>
      <c r="H12" s="19">
        <f t="shared" si="5"/>
        <v>0.45675862374182036</v>
      </c>
      <c r="I12" s="21">
        <f t="shared" si="0"/>
        <v>18693764.261300057</v>
      </c>
      <c r="J12" s="21">
        <f t="shared" si="3"/>
        <v>122134022.65935569</v>
      </c>
      <c r="K12" s="15">
        <f t="shared" si="1"/>
        <v>281923694</v>
      </c>
      <c r="L12" s="69"/>
      <c r="M12" s="69"/>
    </row>
    <row r="13" spans="1:13" ht="15.75" customHeight="1">
      <c r="A13" s="19">
        <v>10</v>
      </c>
      <c r="B13" s="21">
        <f>($B$4*(1+$M$3)^A13)+B3</f>
        <v>10496769.52067028</v>
      </c>
      <c r="C13" s="105">
        <v>10309713.142910488</v>
      </c>
      <c r="D13" s="106">
        <v>86986.394406658481</v>
      </c>
      <c r="E13" s="96">
        <v>259368589.87270001</v>
      </c>
      <c r="F13" s="21">
        <f t="shared" si="2"/>
        <v>20014461.425310157</v>
      </c>
      <c r="G13" s="19">
        <v>44261075</v>
      </c>
      <c r="H13" s="19">
        <f t="shared" si="5"/>
        <v>0.45219103750440215</v>
      </c>
      <c r="I13" s="21">
        <f t="shared" si="0"/>
        <v>9517691.9046398774</v>
      </c>
      <c r="J13" s="21">
        <f t="shared" si="3"/>
        <v>131651714.56399557</v>
      </c>
      <c r="K13" s="15">
        <f t="shared" si="1"/>
        <v>326184769</v>
      </c>
      <c r="L13" s="69"/>
      <c r="M13" s="69"/>
    </row>
    <row r="14" spans="1:13" ht="15.75" customHeight="1">
      <c r="A14" s="19">
        <v>11</v>
      </c>
      <c r="B14" s="21">
        <f t="shared" ref="B14:B22" si="6">$B$4*(1+$M$3)^A14</f>
        <v>137823.41581738871</v>
      </c>
      <c r="C14" s="105">
        <v>8770320.3982156999</v>
      </c>
      <c r="D14" s="106">
        <v>88909.321141589986</v>
      </c>
      <c r="E14" s="96">
        <v>261998945.01890001</v>
      </c>
      <c r="F14" s="21">
        <f t="shared" si="2"/>
        <v>21280576.456526384</v>
      </c>
      <c r="G14" s="19">
        <v>47536395</v>
      </c>
      <c r="H14" s="19">
        <f t="shared" si="5"/>
        <v>0.44766912712935814</v>
      </c>
      <c r="I14" s="21">
        <f t="shared" si="0"/>
        <v>21142753.040708996</v>
      </c>
      <c r="J14" s="21">
        <f t="shared" si="3"/>
        <v>152794467.60470456</v>
      </c>
      <c r="K14" s="15">
        <f t="shared" si="1"/>
        <v>373721164</v>
      </c>
      <c r="L14" s="69"/>
      <c r="M14" s="69"/>
    </row>
    <row r="15" spans="1:13" ht="15.75" customHeight="1">
      <c r="A15" s="19">
        <v>12</v>
      </c>
      <c r="B15" s="21">
        <f t="shared" si="6"/>
        <v>141958.11829191036</v>
      </c>
      <c r="C15" s="105">
        <v>10151852.653681023</v>
      </c>
      <c r="D15" s="106">
        <v>113267.73053937036</v>
      </c>
      <c r="E15" s="96">
        <v>259202528.266</v>
      </c>
      <c r="F15" s="21">
        <f t="shared" si="2"/>
        <v>22626785.621231984</v>
      </c>
      <c r="G15" s="19">
        <v>51054088</v>
      </c>
      <c r="H15" s="19">
        <f t="shared" si="5"/>
        <v>0.44319243585806456</v>
      </c>
      <c r="I15" s="21">
        <f t="shared" si="0"/>
        <v>22484827.502940074</v>
      </c>
      <c r="J15" s="21">
        <f t="shared" si="3"/>
        <v>175279295.10764462</v>
      </c>
      <c r="K15" s="15">
        <f t="shared" si="1"/>
        <v>424775252</v>
      </c>
      <c r="L15" s="69"/>
      <c r="M15" s="69"/>
    </row>
    <row r="16" spans="1:13" ht="15.75" customHeight="1">
      <c r="A16" s="19">
        <v>13</v>
      </c>
      <c r="B16" s="21">
        <f t="shared" si="6"/>
        <v>146216.86184066764</v>
      </c>
      <c r="C16" s="105">
        <v>7952969.1086916197</v>
      </c>
      <c r="D16" s="106">
        <v>109153.97192436452</v>
      </c>
      <c r="E16" s="96">
        <v>263074373.7265</v>
      </c>
      <c r="F16" s="21">
        <f t="shared" si="2"/>
        <v>24058156.293746244</v>
      </c>
      <c r="G16" s="19">
        <v>54832091</v>
      </c>
      <c r="H16" s="19">
        <f t="shared" si="5"/>
        <v>0.43876051149948386</v>
      </c>
      <c r="I16" s="21">
        <f t="shared" si="0"/>
        <v>23911939.431905575</v>
      </c>
      <c r="J16" s="21">
        <f t="shared" si="3"/>
        <v>199191234.53955019</v>
      </c>
      <c r="K16" s="15">
        <f t="shared" si="1"/>
        <v>479607343</v>
      </c>
      <c r="L16" s="69"/>
      <c r="M16" s="69"/>
    </row>
    <row r="17" spans="1:13" ht="15.75" customHeight="1">
      <c r="A17" s="19">
        <v>14</v>
      </c>
      <c r="B17" s="21">
        <f t="shared" si="6"/>
        <v>150603.36769588769</v>
      </c>
      <c r="C17" s="105">
        <v>9614358.0505315866</v>
      </c>
      <c r="D17" s="106">
        <v>89681.267738910843</v>
      </c>
      <c r="E17" s="96">
        <v>260526228.546</v>
      </c>
      <c r="F17" s="21">
        <f t="shared" si="2"/>
        <v>25580074.942058921</v>
      </c>
      <c r="G17" s="19">
        <v>58889665</v>
      </c>
      <c r="H17" s="19">
        <f t="shared" si="5"/>
        <v>0.43437290638448905</v>
      </c>
      <c r="I17" s="21">
        <f t="shared" si="0"/>
        <v>25429471.574363034</v>
      </c>
      <c r="J17" s="21">
        <f t="shared" si="3"/>
        <v>224620706.11391321</v>
      </c>
      <c r="K17" s="15">
        <f t="shared" si="1"/>
        <v>538497008</v>
      </c>
      <c r="L17" s="69"/>
      <c r="M17" s="69"/>
    </row>
    <row r="18" spans="1:13" ht="15.75" customHeight="1">
      <c r="A18" s="19">
        <v>15</v>
      </c>
      <c r="B18" s="21">
        <f t="shared" si="6"/>
        <v>155121.46872676435</v>
      </c>
      <c r="C18" s="105">
        <v>8623519.9663267788</v>
      </c>
      <c r="D18" s="106">
        <v>98095.559237500827</v>
      </c>
      <c r="E18" s="96">
        <v>262099368.31779999</v>
      </c>
      <c r="F18" s="21">
        <f t="shared" si="2"/>
        <v>27198270.392587442</v>
      </c>
      <c r="G18" s="19">
        <v>63247500</v>
      </c>
      <c r="H18" s="19">
        <f t="shared" si="5"/>
        <v>0.43002917732064416</v>
      </c>
      <c r="I18" s="21">
        <f t="shared" si="0"/>
        <v>27043148.923860677</v>
      </c>
      <c r="J18" s="21">
        <f t="shared" si="3"/>
        <v>251663855.03777388</v>
      </c>
      <c r="K18" s="15">
        <f t="shared" si="1"/>
        <v>601744508</v>
      </c>
      <c r="L18" s="69"/>
      <c r="M18" s="69"/>
    </row>
    <row r="19" spans="1:13" ht="15.75" customHeight="1">
      <c r="A19" s="19">
        <v>16</v>
      </c>
      <c r="B19" s="21">
        <f t="shared" si="6"/>
        <v>159775.11278856723</v>
      </c>
      <c r="C19" s="105">
        <v>9965603.0715951882</v>
      </c>
      <c r="D19" s="106">
        <v>101271.24292972377</v>
      </c>
      <c r="E19" s="96">
        <v>259725088.986</v>
      </c>
      <c r="F19" s="21">
        <f t="shared" si="2"/>
        <v>28918832.977622524</v>
      </c>
      <c r="G19" s="19">
        <v>67927815</v>
      </c>
      <c r="H19" s="19">
        <f t="shared" si="5"/>
        <v>0.42572888554743771</v>
      </c>
      <c r="I19" s="21">
        <f t="shared" si="0"/>
        <v>28759057.864833958</v>
      </c>
      <c r="J19" s="21">
        <f t="shared" si="3"/>
        <v>280422912.90260786</v>
      </c>
      <c r="K19" s="15">
        <f t="shared" si="1"/>
        <v>669672323</v>
      </c>
      <c r="L19" s="69"/>
      <c r="M19" s="69"/>
    </row>
    <row r="20" spans="1:13" ht="15.75" customHeight="1">
      <c r="A20" s="19">
        <v>17</v>
      </c>
      <c r="B20" s="21">
        <f t="shared" si="6"/>
        <v>164568.36617222425</v>
      </c>
      <c r="C20" s="105">
        <v>9142644.6063126232</v>
      </c>
      <c r="D20" s="106">
        <v>96847.730696814222</v>
      </c>
      <c r="E20" s="96">
        <v>261222355.63499999</v>
      </c>
      <c r="F20" s="21">
        <f t="shared" si="2"/>
        <v>30748238.642602324</v>
      </c>
      <c r="G20" s="19">
        <v>72954474</v>
      </c>
      <c r="H20" s="19">
        <f t="shared" si="5"/>
        <v>0.42147159669196332</v>
      </c>
      <c r="I20" s="21">
        <f t="shared" si="0"/>
        <v>30583670.2764301</v>
      </c>
      <c r="J20" s="21">
        <f t="shared" si="3"/>
        <v>311006583.17903793</v>
      </c>
      <c r="K20" s="15">
        <f t="shared" si="1"/>
        <v>742626797</v>
      </c>
      <c r="L20" s="69"/>
      <c r="M20" s="69"/>
    </row>
    <row r="21" spans="1:13" ht="15.75" customHeight="1">
      <c r="A21" s="19">
        <v>18</v>
      </c>
      <c r="B21" s="21">
        <f t="shared" si="6"/>
        <v>169505.417157391</v>
      </c>
      <c r="C21" s="105">
        <v>9850949.5014079902</v>
      </c>
      <c r="D21" s="106">
        <v>103753.5016631913</v>
      </c>
      <c r="E21" s="96">
        <v>259881917.96529999</v>
      </c>
      <c r="F21" s="21">
        <f t="shared" si="2"/>
        <v>32693372.187421825</v>
      </c>
      <c r="G21" s="19">
        <v>78353105</v>
      </c>
      <c r="H21" s="19">
        <f t="shared" si="5"/>
        <v>0.41725688072504369</v>
      </c>
      <c r="I21" s="21">
        <f t="shared" si="0"/>
        <v>32523866.770264436</v>
      </c>
      <c r="J21" s="21">
        <f t="shared" si="3"/>
        <v>343530449.94930238</v>
      </c>
      <c r="K21" s="15">
        <f t="shared" si="1"/>
        <v>820979902</v>
      </c>
      <c r="L21" s="69"/>
      <c r="M21" s="69"/>
    </row>
    <row r="22" spans="1:13" ht="15.75" customHeight="1">
      <c r="A22" s="19">
        <v>19</v>
      </c>
      <c r="B22" s="21">
        <f t="shared" si="6"/>
        <v>174590.57967211271</v>
      </c>
      <c r="C22" s="105">
        <v>10333572.748450162</v>
      </c>
      <c r="D22" s="106">
        <v>106223.06410942758</v>
      </c>
      <c r="E22" s="96">
        <v>259005929.0706</v>
      </c>
      <c r="F22" s="21">
        <f t="shared" si="2"/>
        <v>34761554.593923204</v>
      </c>
      <c r="G22" s="19">
        <v>84151234</v>
      </c>
      <c r="H22" s="19">
        <f t="shared" si="5"/>
        <v>0.41308431191779321</v>
      </c>
      <c r="I22" s="21">
        <f t="shared" si="0"/>
        <v>34586964.014251091</v>
      </c>
      <c r="J22" s="21">
        <f t="shared" si="3"/>
        <v>378117413.96355349</v>
      </c>
      <c r="K22" s="15">
        <f t="shared" si="1"/>
        <v>905131136</v>
      </c>
      <c r="L22" s="69"/>
      <c r="M22" s="69"/>
    </row>
    <row r="23" spans="1:13" ht="15.75" customHeight="1">
      <c r="A23" s="19">
        <v>20</v>
      </c>
      <c r="B23" s="21">
        <f>($B$4*(1+$M$3)^A23)+B3</f>
        <v>10542788.676162276</v>
      </c>
      <c r="C23" s="105">
        <v>9782644.2802850809</v>
      </c>
      <c r="D23" s="106">
        <v>119557.73903435728</v>
      </c>
      <c r="E23" s="96">
        <v>259736009.2581</v>
      </c>
      <c r="F23" s="21">
        <f t="shared" si="2"/>
        <v>36960570.817258961</v>
      </c>
      <c r="G23" s="19">
        <v>90378426</v>
      </c>
      <c r="H23" s="19">
        <f t="shared" si="5"/>
        <v>0.40895346879861533</v>
      </c>
      <c r="I23" s="21">
        <f t="shared" si="0"/>
        <v>26417782.141096685</v>
      </c>
      <c r="J23" s="21">
        <f t="shared" si="3"/>
        <v>404535196.1046502</v>
      </c>
      <c r="K23" s="15">
        <f t="shared" si="1"/>
        <v>995509562</v>
      </c>
      <c r="L23" s="69"/>
      <c r="M23" s="69"/>
    </row>
    <row r="24" spans="1:13" ht="15.75" customHeight="1">
      <c r="A24" s="23">
        <v>21</v>
      </c>
      <c r="B24" s="21">
        <f t="shared" ref="B24:B33" si="7">$B$4*(1+$M$3)^A24</f>
        <v>185223.14597414434</v>
      </c>
      <c r="C24" s="105">
        <v>9182953.8749666009</v>
      </c>
      <c r="D24" s="106">
        <v>97846.152008173376</v>
      </c>
      <c r="E24" s="96">
        <v>261135957.08539999</v>
      </c>
      <c r="F24" s="21">
        <f t="shared" si="2"/>
        <v>39298696.315010063</v>
      </c>
      <c r="G24" s="19">
        <v>97066429</v>
      </c>
      <c r="H24" s="19">
        <f t="shared" si="5"/>
        <v>0.40486393411062915</v>
      </c>
      <c r="I24" s="21">
        <f t="shared" si="0"/>
        <v>39113473.169035919</v>
      </c>
      <c r="J24" s="21">
        <f t="shared" si="3"/>
        <v>443648669.27368611</v>
      </c>
      <c r="K24" s="15">
        <f t="shared" si="1"/>
        <v>1092575991</v>
      </c>
      <c r="L24" s="69"/>
      <c r="M24" s="69"/>
    </row>
    <row r="25" spans="1:13" ht="15.75" customHeight="1">
      <c r="A25" s="23">
        <v>22</v>
      </c>
      <c r="B25" s="21">
        <f t="shared" si="7"/>
        <v>190779.84035336869</v>
      </c>
      <c r="C25" s="105">
        <v>9758172.4959366098</v>
      </c>
      <c r="D25" s="106">
        <v>81391.612039992644</v>
      </c>
      <c r="E25" s="96">
        <v>260415990.18169999</v>
      </c>
      <c r="F25" s="21">
        <f t="shared" si="2"/>
        <v>41784731.945704684</v>
      </c>
      <c r="G25" s="19">
        <v>104249345</v>
      </c>
      <c r="H25" s="19">
        <f t="shared" si="5"/>
        <v>0.40081529476952282</v>
      </c>
      <c r="I25" s="21">
        <f t="shared" si="0"/>
        <v>41593952.105351314</v>
      </c>
      <c r="J25" s="21">
        <f t="shared" si="3"/>
        <v>485242621.37903744</v>
      </c>
      <c r="K25" s="15">
        <f t="shared" si="1"/>
        <v>1196825336</v>
      </c>
      <c r="L25" s="69"/>
      <c r="M25" s="69"/>
    </row>
    <row r="26" spans="1:13" ht="15.75" customHeight="1">
      <c r="A26" s="23">
        <v>23</v>
      </c>
      <c r="B26" s="21">
        <f t="shared" si="7"/>
        <v>196503.23556396976</v>
      </c>
      <c r="C26" s="105">
        <v>8487968.4028621931</v>
      </c>
      <c r="D26" s="106">
        <v>88315.125977478019</v>
      </c>
      <c r="E26" s="96">
        <v>262497219.01539999</v>
      </c>
      <c r="F26" s="21">
        <f t="shared" si="2"/>
        <v>44428033.878282174</v>
      </c>
      <c r="G26" s="19">
        <v>111963796</v>
      </c>
      <c r="H26" s="19">
        <f t="shared" si="5"/>
        <v>0.39680714182182764</v>
      </c>
      <c r="I26" s="21">
        <f t="shared" si="0"/>
        <v>44231530.642718203</v>
      </c>
      <c r="J26" s="21">
        <f t="shared" si="3"/>
        <v>529474152.02175564</v>
      </c>
      <c r="K26" s="15">
        <f t="shared" si="1"/>
        <v>1308789132</v>
      </c>
      <c r="L26" s="69"/>
      <c r="M26" s="69"/>
    </row>
    <row r="27" spans="1:13" ht="15.75" customHeight="1">
      <c r="A27" s="23">
        <v>24</v>
      </c>
      <c r="B27" s="21">
        <f t="shared" si="7"/>
        <v>202398.33263088885</v>
      </c>
      <c r="C27" s="105">
        <v>8639650.2268058825</v>
      </c>
      <c r="D27" s="106">
        <v>111810.72297450033</v>
      </c>
      <c r="E27" s="96">
        <v>261842325.73649999</v>
      </c>
      <c r="F27" s="21">
        <f t="shared" si="2"/>
        <v>47238551.339134857</v>
      </c>
      <c r="G27" s="19">
        <v>120249117</v>
      </c>
      <c r="H27" s="19">
        <f t="shared" si="5"/>
        <v>0.39283907040360933</v>
      </c>
      <c r="I27" s="21">
        <f t="shared" si="0"/>
        <v>47036153.006503969</v>
      </c>
      <c r="J27" s="21">
        <f t="shared" si="3"/>
        <v>576510305.02825963</v>
      </c>
      <c r="K27" s="15">
        <f t="shared" si="1"/>
        <v>1429038249</v>
      </c>
      <c r="L27" s="69"/>
      <c r="M27" s="69"/>
    </row>
    <row r="28" spans="1:13" ht="15.75" customHeight="1">
      <c r="A28" s="23">
        <v>25</v>
      </c>
      <c r="B28" s="21">
        <f t="shared" si="7"/>
        <v>208470.28260981551</v>
      </c>
      <c r="C28" s="105">
        <v>11631098.935799047</v>
      </c>
      <c r="D28" s="106">
        <v>112054.35581982732</v>
      </c>
      <c r="E28" s="96">
        <v>256664345.68599999</v>
      </c>
      <c r="F28" s="21">
        <f t="shared" si="2"/>
        <v>50226862.229855977</v>
      </c>
      <c r="G28" s="19">
        <v>129147552</v>
      </c>
      <c r="H28" s="19">
        <f t="shared" si="5"/>
        <v>0.38891067969957321</v>
      </c>
      <c r="I28" s="21">
        <f t="shared" si="0"/>
        <v>50018391.947246164</v>
      </c>
      <c r="J28" s="21">
        <f t="shared" si="3"/>
        <v>626528696.97550583</v>
      </c>
      <c r="K28" s="15">
        <f t="shared" si="1"/>
        <v>1558185801</v>
      </c>
      <c r="L28" s="69"/>
      <c r="M28" s="69"/>
    </row>
    <row r="29" spans="1:13" ht="15.75" customHeight="1">
      <c r="A29" s="23">
        <v>26</v>
      </c>
      <c r="B29" s="21">
        <f t="shared" si="7"/>
        <v>214724.39108810999</v>
      </c>
      <c r="C29" s="105">
        <v>10028323.336643817</v>
      </c>
      <c r="D29" s="106">
        <v>105591.86495868342</v>
      </c>
      <c r="E29" s="96">
        <v>259544423.91190001</v>
      </c>
      <c r="F29" s="21">
        <f t="shared" si="2"/>
        <v>53404213.593039945</v>
      </c>
      <c r="G29" s="19">
        <v>138704471</v>
      </c>
      <c r="H29" s="19">
        <f t="shared" si="5"/>
        <v>0.38502157290257749</v>
      </c>
      <c r="I29" s="21">
        <f t="shared" si="0"/>
        <v>53189489.201951832</v>
      </c>
      <c r="J29" s="21">
        <f t="shared" si="3"/>
        <v>679718186.17745769</v>
      </c>
      <c r="K29" s="15">
        <f t="shared" si="1"/>
        <v>1696890272</v>
      </c>
      <c r="L29" s="69"/>
      <c r="M29" s="69"/>
    </row>
    <row r="30" spans="1:13" ht="15.75" customHeight="1">
      <c r="A30" s="23">
        <v>27</v>
      </c>
      <c r="B30" s="21">
        <f t="shared" si="7"/>
        <v>221166.12282075325</v>
      </c>
      <c r="C30" s="105">
        <v>10179468.919537263</v>
      </c>
      <c r="D30" s="106">
        <v>90636.730979725136</v>
      </c>
      <c r="E30" s="96">
        <v>259532868.42410001</v>
      </c>
      <c r="F30" s="21">
        <f t="shared" si="2"/>
        <v>56782563.819415316</v>
      </c>
      <c r="G30" s="19">
        <v>148968601</v>
      </c>
      <c r="H30" s="19">
        <f t="shared" si="5"/>
        <v>0.38117135717355172</v>
      </c>
      <c r="I30" s="21">
        <f t="shared" si="0"/>
        <v>56561397.696594566</v>
      </c>
      <c r="J30" s="21">
        <f t="shared" si="3"/>
        <v>736279583.87405229</v>
      </c>
      <c r="K30" s="15">
        <f t="shared" si="1"/>
        <v>1845858873</v>
      </c>
      <c r="L30" s="69"/>
      <c r="M30" s="69"/>
    </row>
    <row r="31" spans="1:13" ht="15.75" customHeight="1">
      <c r="A31" s="23">
        <v>28</v>
      </c>
      <c r="B31" s="21">
        <f t="shared" si="7"/>
        <v>227801.10650537588</v>
      </c>
      <c r="C31" s="105">
        <v>10709293.633935997</v>
      </c>
      <c r="D31" s="106">
        <v>104819.7804017942</v>
      </c>
      <c r="E31" s="96">
        <v>258379539.96970001</v>
      </c>
      <c r="F31" s="21">
        <f t="shared" si="2"/>
        <v>60374629.005122691</v>
      </c>
      <c r="G31" s="19">
        <v>159992278</v>
      </c>
      <c r="H31" s="19">
        <f t="shared" si="5"/>
        <v>0.37735964360181617</v>
      </c>
      <c r="I31" s="21">
        <f t="shared" si="0"/>
        <v>60146827.898617312</v>
      </c>
      <c r="J31" s="21">
        <f t="shared" si="3"/>
        <v>796426411.77266955</v>
      </c>
      <c r="K31" s="15">
        <f t="shared" si="1"/>
        <v>2005851151</v>
      </c>
      <c r="L31" s="69"/>
      <c r="M31" s="69"/>
    </row>
    <row r="32" spans="1:13" ht="15.75" customHeight="1">
      <c r="A32" s="23">
        <v>29</v>
      </c>
      <c r="B32" s="21">
        <f t="shared" si="7"/>
        <v>234635.13970053711</v>
      </c>
      <c r="C32" s="105">
        <v>10003264.332797866</v>
      </c>
      <c r="D32" s="106">
        <v>100327.28374445885</v>
      </c>
      <c r="E32" s="96">
        <v>259675722.398</v>
      </c>
      <c r="F32" s="21">
        <f t="shared" si="2"/>
        <v>64193927.822295532</v>
      </c>
      <c r="G32" s="19">
        <v>171831706</v>
      </c>
      <c r="H32" s="19">
        <f t="shared" si="5"/>
        <v>0.37358604716579796</v>
      </c>
      <c r="I32" s="21">
        <f t="shared" si="0"/>
        <v>63959292.682594992</v>
      </c>
      <c r="J32" s="21">
        <f t="shared" si="3"/>
        <v>860385704.45526457</v>
      </c>
      <c r="K32" s="15">
        <f t="shared" si="1"/>
        <v>2177682857</v>
      </c>
      <c r="L32" s="69"/>
      <c r="M32" s="69"/>
    </row>
    <row r="33" spans="1:13" ht="15.75" customHeight="1">
      <c r="A33" s="23">
        <v>30</v>
      </c>
      <c r="B33" s="21">
        <f t="shared" si="7"/>
        <v>241674.19389155324</v>
      </c>
      <c r="C33" s="105">
        <v>10362960.379112015</v>
      </c>
      <c r="D33" s="106">
        <v>99566.567980448744</v>
      </c>
      <c r="E33" s="96">
        <v>259066313.70570001</v>
      </c>
      <c r="F33" s="21">
        <f t="shared" si="2"/>
        <v>68254835.975940704</v>
      </c>
      <c r="G33" s="19">
        <v>184547253</v>
      </c>
      <c r="H33" s="19">
        <f t="shared" si="5"/>
        <v>0.36985018669414005</v>
      </c>
      <c r="I33" s="21">
        <f t="shared" si="0"/>
        <v>68013161.782049149</v>
      </c>
      <c r="J33" s="21">
        <f t="shared" si="3"/>
        <v>928398866.23731375</v>
      </c>
      <c r="K33" s="15">
        <f t="shared" si="1"/>
        <v>2362230110</v>
      </c>
      <c r="L33" s="69"/>
      <c r="M33" s="69"/>
    </row>
    <row r="34" spans="1:13" ht="15.75" customHeight="1">
      <c r="A34" s="69"/>
      <c r="B34" s="69"/>
      <c r="C34" s="24"/>
      <c r="D34" s="24"/>
      <c r="E34" s="24"/>
      <c r="F34" s="24" t="s">
        <v>28</v>
      </c>
      <c r="G34" s="27">
        <f t="array" ref="G34">NPV(7.4%,I4:I33)+I3</f>
        <v>259066313.70574126</v>
      </c>
      <c r="H34" s="69"/>
      <c r="I34" s="69"/>
      <c r="J34" s="69"/>
      <c r="K34" s="69"/>
      <c r="L34" s="69"/>
      <c r="M34" s="69"/>
    </row>
    <row r="35" spans="1:13" ht="15.75" customHeight="1">
      <c r="A35" s="69"/>
      <c r="B35" s="69"/>
      <c r="C35" s="24"/>
      <c r="D35" s="24"/>
      <c r="E35" s="24"/>
      <c r="F35" s="24" t="s">
        <v>29</v>
      </c>
      <c r="G35" s="109">
        <v>1</v>
      </c>
      <c r="H35" s="5" t="s">
        <v>87</v>
      </c>
      <c r="I35" s="69"/>
      <c r="J35" s="69"/>
      <c r="K35" s="69"/>
      <c r="L35" s="69"/>
      <c r="M35" s="69"/>
    </row>
    <row r="36" spans="1:13" ht="15.75" customHeight="1">
      <c r="A36" s="69"/>
      <c r="B36" s="69"/>
      <c r="C36" s="24"/>
      <c r="D36" s="24"/>
      <c r="E36" s="24"/>
      <c r="F36" s="24" t="s">
        <v>30</v>
      </c>
      <c r="G36" s="26">
        <f>IRR(I3:I33,3%)</f>
        <v>1.1320897406938433</v>
      </c>
      <c r="H36" s="69"/>
      <c r="I36" s="69"/>
      <c r="J36" s="69"/>
      <c r="K36" s="69"/>
      <c r="L36" s="69"/>
      <c r="M36" s="69"/>
    </row>
    <row r="37" spans="1:13" ht="15.75" customHeight="1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1</xdr:col>
                <xdr:colOff>571500</xdr:colOff>
                <xdr:row>34</xdr:row>
                <xdr:rowOff>190500</xdr:rowOff>
              </from>
              <to>
                <xdr:col>1</xdr:col>
                <xdr:colOff>2781300</xdr:colOff>
                <xdr:row>40</xdr:row>
                <xdr:rowOff>114300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 Requirements</vt:lpstr>
      <vt:lpstr>Labour Cost Reduction</vt:lpstr>
      <vt:lpstr>Apple car</vt:lpstr>
      <vt:lpstr>Battery Capacity</vt:lpstr>
      <vt:lpstr>JIT</vt:lpstr>
      <vt:lpstr>Warranty Cost</vt:lpstr>
      <vt:lpstr>OCA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Sudhan</dc:creator>
  <cp:lastModifiedBy>Sudhan</cp:lastModifiedBy>
  <dcterms:created xsi:type="dcterms:W3CDTF">2018-05-03T06:00:30Z</dcterms:created>
  <dcterms:modified xsi:type="dcterms:W3CDTF">2018-05-04T19:51:29Z</dcterms:modified>
</cp:coreProperties>
</file>